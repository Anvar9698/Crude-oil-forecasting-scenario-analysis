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Anvar\Desktop\"/>
    </mc:Choice>
  </mc:AlternateContent>
  <xr:revisionPtr revIDLastSave="0" documentId="13_ncr:1_{9D15BB78-19E2-4CD0-8835-859A2B52343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orecast" sheetId="7" r:id="rId1"/>
    <sheet name="Data_Crude_Oil_For_Forecasting" sheetId="1" r:id="rId2"/>
    <sheet name="Scenario Summary" sheetId="10" r:id="rId3"/>
    <sheet name="Net_Receivable" sheetId="2" r:id="rId4"/>
    <sheet name="Calculations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  <c r="D33" i="3"/>
  <c r="E33" i="3"/>
  <c r="C33" i="3"/>
  <c r="G32" i="3"/>
  <c r="F32" i="3"/>
  <c r="E32" i="3"/>
  <c r="D32" i="3"/>
  <c r="C32" i="3"/>
  <c r="D19" i="3"/>
  <c r="C19" i="3"/>
  <c r="G18" i="3"/>
  <c r="F18" i="3"/>
  <c r="E18" i="3"/>
  <c r="D18" i="3"/>
  <c r="C18" i="3"/>
  <c r="D5" i="3"/>
  <c r="C5" i="3"/>
  <c r="C13" i="3" s="1"/>
  <c r="G4" i="3"/>
  <c r="F4" i="3"/>
  <c r="E4" i="3"/>
  <c r="D4" i="3"/>
  <c r="C4" i="3"/>
  <c r="E1259" i="7"/>
  <c r="D1259" i="7"/>
  <c r="C1259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H2" i="7"/>
  <c r="H3" i="7"/>
  <c r="H4" i="7"/>
  <c r="H5" i="7"/>
  <c r="H6" i="7"/>
  <c r="H7" i="7"/>
  <c r="H8" i="7"/>
  <c r="L43" i="3"/>
  <c r="K43" i="3"/>
  <c r="J43" i="3"/>
  <c r="I43" i="3"/>
  <c r="H43" i="3"/>
  <c r="B43" i="3"/>
  <c r="L42" i="3"/>
  <c r="K42" i="3"/>
  <c r="J42" i="3"/>
  <c r="I42" i="3"/>
  <c r="H42" i="3"/>
  <c r="B42" i="3"/>
  <c r="L41" i="3"/>
  <c r="K41" i="3"/>
  <c r="J41" i="3"/>
  <c r="I41" i="3"/>
  <c r="H41" i="3"/>
  <c r="B41" i="3"/>
  <c r="L38" i="3"/>
  <c r="K38" i="3"/>
  <c r="J38" i="3"/>
  <c r="I38" i="3"/>
  <c r="H38" i="3"/>
  <c r="B38" i="3"/>
  <c r="L37" i="3"/>
  <c r="K37" i="3"/>
  <c r="J37" i="3"/>
  <c r="I37" i="3"/>
  <c r="H37" i="3"/>
  <c r="B37" i="3"/>
  <c r="L33" i="3"/>
  <c r="K33" i="3"/>
  <c r="J33" i="3"/>
  <c r="I33" i="3"/>
  <c r="H33" i="3"/>
  <c r="L32" i="3"/>
  <c r="K32" i="3"/>
  <c r="J32" i="3"/>
  <c r="I32" i="3"/>
  <c r="H32" i="3"/>
  <c r="L29" i="3"/>
  <c r="K29" i="3"/>
  <c r="J29" i="3"/>
  <c r="I29" i="3"/>
  <c r="H29" i="3"/>
  <c r="B29" i="3"/>
  <c r="L28" i="3"/>
  <c r="K28" i="3"/>
  <c r="J28" i="3"/>
  <c r="I28" i="3"/>
  <c r="H28" i="3"/>
  <c r="B28" i="3"/>
  <c r="L27" i="3"/>
  <c r="K27" i="3"/>
  <c r="J27" i="3"/>
  <c r="I27" i="3"/>
  <c r="H27" i="3"/>
  <c r="B27" i="3"/>
  <c r="L24" i="3"/>
  <c r="K24" i="3"/>
  <c r="J24" i="3"/>
  <c r="I24" i="3"/>
  <c r="H24" i="3"/>
  <c r="B24" i="3"/>
  <c r="L23" i="3"/>
  <c r="K23" i="3"/>
  <c r="J23" i="3"/>
  <c r="I23" i="3"/>
  <c r="H23" i="3"/>
  <c r="B23" i="3"/>
  <c r="L19" i="3"/>
  <c r="K19" i="3"/>
  <c r="J19" i="3"/>
  <c r="I19" i="3"/>
  <c r="H19" i="3"/>
  <c r="L18" i="3"/>
  <c r="K18" i="3"/>
  <c r="J18" i="3"/>
  <c r="I18" i="3"/>
  <c r="H18" i="3"/>
  <c r="L15" i="3"/>
  <c r="K15" i="3"/>
  <c r="J15" i="3"/>
  <c r="I15" i="3"/>
  <c r="H15" i="3"/>
  <c r="B15" i="3"/>
  <c r="L14" i="3"/>
  <c r="K14" i="3"/>
  <c r="J14" i="3"/>
  <c r="I14" i="3"/>
  <c r="H14" i="3"/>
  <c r="B14" i="3"/>
  <c r="L13" i="3"/>
  <c r="K13" i="3"/>
  <c r="J13" i="3"/>
  <c r="I13" i="3"/>
  <c r="H13" i="3"/>
  <c r="B13" i="3"/>
  <c r="L10" i="3"/>
  <c r="K10" i="3"/>
  <c r="J10" i="3"/>
  <c r="I10" i="3"/>
  <c r="H10" i="3"/>
  <c r="B10" i="3"/>
  <c r="L9" i="3"/>
  <c r="K9" i="3"/>
  <c r="J9" i="3"/>
  <c r="I9" i="3"/>
  <c r="H9" i="3"/>
  <c r="B9" i="3"/>
  <c r="L5" i="3"/>
  <c r="K5" i="3"/>
  <c r="J5" i="3"/>
  <c r="I5" i="3"/>
  <c r="H5" i="3"/>
  <c r="L4" i="3"/>
  <c r="K4" i="3"/>
  <c r="J4" i="3"/>
  <c r="I4" i="3"/>
  <c r="H4" i="3"/>
  <c r="B51" i="2"/>
  <c r="B50" i="2"/>
  <c r="B49" i="2"/>
  <c r="B46" i="2"/>
  <c r="B45" i="2"/>
  <c r="B41" i="2"/>
  <c r="B40" i="2"/>
  <c r="B36" i="2"/>
  <c r="B35" i="2"/>
  <c r="B34" i="2"/>
  <c r="B31" i="2"/>
  <c r="B30" i="2"/>
  <c r="B25" i="2"/>
  <c r="B19" i="2"/>
  <c r="G15" i="2"/>
  <c r="F15" i="2"/>
  <c r="E15" i="2"/>
  <c r="D15" i="2"/>
  <c r="C15" i="2"/>
  <c r="G8" i="2"/>
  <c r="F8" i="2"/>
  <c r="E8" i="2"/>
  <c r="D8" i="2"/>
  <c r="C8" i="2"/>
  <c r="G7" i="2"/>
  <c r="F7" i="2"/>
  <c r="E7" i="2"/>
  <c r="D7" i="2"/>
  <c r="C7" i="2"/>
  <c r="B21" i="2" l="1"/>
  <c r="D41" i="3"/>
  <c r="D41" i="2"/>
  <c r="D49" i="2" s="1"/>
  <c r="E41" i="3"/>
  <c r="E41" i="2"/>
  <c r="E49" i="2" s="1"/>
  <c r="F33" i="3"/>
  <c r="C41" i="3"/>
  <c r="C41" i="2"/>
  <c r="C49" i="2" s="1"/>
  <c r="G42" i="3"/>
  <c r="G37" i="3"/>
  <c r="G40" i="2"/>
  <c r="G50" i="2" s="1"/>
  <c r="F42" i="3"/>
  <c r="F37" i="3"/>
  <c r="F40" i="2"/>
  <c r="F50" i="2" s="1"/>
  <c r="E42" i="3"/>
  <c r="E43" i="3" s="1"/>
  <c r="E37" i="3"/>
  <c r="E40" i="2"/>
  <c r="E50" i="2" s="1"/>
  <c r="E51" i="2" s="1"/>
  <c r="D42" i="3"/>
  <c r="D43" i="3" s="1"/>
  <c r="D37" i="3"/>
  <c r="D40" i="2"/>
  <c r="D50" i="2" s="1"/>
  <c r="D51" i="2" s="1"/>
  <c r="C42" i="3"/>
  <c r="C43" i="3" s="1"/>
  <c r="C40" i="2"/>
  <c r="C50" i="2" s="1"/>
  <c r="C51" i="2" s="1"/>
  <c r="C37" i="3"/>
  <c r="D27" i="3"/>
  <c r="D26" i="2"/>
  <c r="D34" i="2" s="1"/>
  <c r="E19" i="3"/>
  <c r="C26" i="2"/>
  <c r="C34" i="2" s="1"/>
  <c r="C27" i="3"/>
  <c r="G28" i="3"/>
  <c r="G23" i="3"/>
  <c r="G25" i="2"/>
  <c r="F28" i="3"/>
  <c r="F23" i="3"/>
  <c r="F25" i="2"/>
  <c r="E23" i="3"/>
  <c r="E25" i="2"/>
  <c r="E28" i="3"/>
  <c r="D28" i="3"/>
  <c r="D23" i="3"/>
  <c r="D25" i="2"/>
  <c r="C28" i="3"/>
  <c r="C23" i="3"/>
  <c r="C25" i="2"/>
  <c r="D13" i="3"/>
  <c r="E5" i="3"/>
  <c r="G9" i="3"/>
  <c r="G14" i="3"/>
  <c r="F14" i="3"/>
  <c r="F9" i="3"/>
  <c r="E9" i="3"/>
  <c r="E10" i="3" s="1"/>
  <c r="E10" i="2" s="1"/>
  <c r="E14" i="3"/>
  <c r="D14" i="3"/>
  <c r="D15" i="3" s="1"/>
  <c r="D19" i="2" s="1"/>
  <c r="D9" i="3"/>
  <c r="D10" i="3" s="1"/>
  <c r="D10" i="2" s="1"/>
  <c r="C14" i="3"/>
  <c r="C15" i="3" s="1"/>
  <c r="C19" i="2" s="1"/>
  <c r="C9" i="3"/>
  <c r="C10" i="3" s="1"/>
  <c r="C10" i="2" s="1"/>
  <c r="D951" i="7"/>
  <c r="E951" i="7"/>
  <c r="D952" i="7"/>
  <c r="E952" i="7"/>
  <c r="D953" i="7"/>
  <c r="E953" i="7"/>
  <c r="D954" i="7"/>
  <c r="E954" i="7"/>
  <c r="D955" i="7"/>
  <c r="E955" i="7"/>
  <c r="D956" i="7"/>
  <c r="E956" i="7"/>
  <c r="D957" i="7"/>
  <c r="E957" i="7"/>
  <c r="D958" i="7"/>
  <c r="E958" i="7"/>
  <c r="D959" i="7"/>
  <c r="E959" i="7"/>
  <c r="D960" i="7"/>
  <c r="E960" i="7"/>
  <c r="D961" i="7"/>
  <c r="E961" i="7"/>
  <c r="D962" i="7"/>
  <c r="E962" i="7"/>
  <c r="D963" i="7"/>
  <c r="E963" i="7"/>
  <c r="D964" i="7"/>
  <c r="E964" i="7"/>
  <c r="D965" i="7"/>
  <c r="E965" i="7"/>
  <c r="D966" i="7"/>
  <c r="E966" i="7"/>
  <c r="D967" i="7"/>
  <c r="E967" i="7"/>
  <c r="D968" i="7"/>
  <c r="E968" i="7"/>
  <c r="D969" i="7"/>
  <c r="E969" i="7"/>
  <c r="D970" i="7"/>
  <c r="E970" i="7"/>
  <c r="D971" i="7"/>
  <c r="E971" i="7"/>
  <c r="D972" i="7"/>
  <c r="E972" i="7"/>
  <c r="D973" i="7"/>
  <c r="E973" i="7"/>
  <c r="D974" i="7"/>
  <c r="E974" i="7"/>
  <c r="D975" i="7"/>
  <c r="E975" i="7"/>
  <c r="D976" i="7"/>
  <c r="E976" i="7"/>
  <c r="D977" i="7"/>
  <c r="E977" i="7"/>
  <c r="D978" i="7"/>
  <c r="E978" i="7"/>
  <c r="E979" i="7"/>
  <c r="D979" i="7"/>
  <c r="E980" i="7"/>
  <c r="D980" i="7"/>
  <c r="E981" i="7"/>
  <c r="D981" i="7"/>
  <c r="E982" i="7"/>
  <c r="D982" i="7"/>
  <c r="E983" i="7"/>
  <c r="D983" i="7"/>
  <c r="E984" i="7"/>
  <c r="D984" i="7"/>
  <c r="E985" i="7"/>
  <c r="D985" i="7"/>
  <c r="D986" i="7"/>
  <c r="E986" i="7"/>
  <c r="D987" i="7"/>
  <c r="E987" i="7"/>
  <c r="D988" i="7"/>
  <c r="E988" i="7"/>
  <c r="D989" i="7"/>
  <c r="E989" i="7"/>
  <c r="D990" i="7"/>
  <c r="E990" i="7"/>
  <c r="E991" i="7"/>
  <c r="D991" i="7"/>
  <c r="E992" i="7"/>
  <c r="D992" i="7"/>
  <c r="E993" i="7"/>
  <c r="D993" i="7"/>
  <c r="E994" i="7"/>
  <c r="D994" i="7"/>
  <c r="E995" i="7"/>
  <c r="D995" i="7"/>
  <c r="E996" i="7"/>
  <c r="D996" i="7"/>
  <c r="E997" i="7"/>
  <c r="D997" i="7"/>
  <c r="E998" i="7"/>
  <c r="D998" i="7"/>
  <c r="D999" i="7"/>
  <c r="E999" i="7"/>
  <c r="E1000" i="7"/>
  <c r="D1000" i="7"/>
  <c r="D1001" i="7"/>
  <c r="E1001" i="7"/>
  <c r="D1002" i="7"/>
  <c r="E1002" i="7"/>
  <c r="E1003" i="7"/>
  <c r="D1003" i="7"/>
  <c r="D1004" i="7"/>
  <c r="E1004" i="7"/>
  <c r="D1005" i="7"/>
  <c r="E1005" i="7"/>
  <c r="D1006" i="7"/>
  <c r="E1006" i="7"/>
  <c r="D1007" i="7"/>
  <c r="E1007" i="7"/>
  <c r="D1008" i="7"/>
  <c r="E1008" i="7"/>
  <c r="D1009" i="7"/>
  <c r="E1009" i="7"/>
  <c r="D1010" i="7"/>
  <c r="E1010" i="7"/>
  <c r="E1011" i="7"/>
  <c r="D1011" i="7"/>
  <c r="D1012" i="7"/>
  <c r="E1012" i="7"/>
  <c r="D1013" i="7"/>
  <c r="E1013" i="7"/>
  <c r="D1014" i="7"/>
  <c r="E1014" i="7"/>
  <c r="E1015" i="7"/>
  <c r="D1015" i="7"/>
  <c r="E1016" i="7"/>
  <c r="D1016" i="7"/>
  <c r="D1017" i="7"/>
  <c r="E1017" i="7"/>
  <c r="D1018" i="7"/>
  <c r="E1018" i="7"/>
  <c r="D1019" i="7"/>
  <c r="E1019" i="7"/>
  <c r="D1020" i="7"/>
  <c r="E1020" i="7"/>
  <c r="E1021" i="7"/>
  <c r="D1021" i="7"/>
  <c r="E1022" i="7"/>
  <c r="D1022" i="7"/>
  <c r="E1023" i="7"/>
  <c r="D1023" i="7"/>
  <c r="E1024" i="7"/>
  <c r="D1024" i="7"/>
  <c r="D1025" i="7"/>
  <c r="E1025" i="7"/>
  <c r="D1026" i="7"/>
  <c r="E1026" i="7"/>
  <c r="E1027" i="7"/>
  <c r="D1027" i="7"/>
  <c r="E1028" i="7"/>
  <c r="D1028" i="7"/>
  <c r="E1029" i="7"/>
  <c r="D1029" i="7"/>
  <c r="E1030" i="7"/>
  <c r="D1030" i="7"/>
  <c r="D1031" i="7"/>
  <c r="E1031" i="7"/>
  <c r="D1032" i="7"/>
  <c r="E1032" i="7"/>
  <c r="E1033" i="7"/>
  <c r="D1033" i="7"/>
  <c r="E1034" i="7"/>
  <c r="D1034" i="7"/>
  <c r="E1035" i="7"/>
  <c r="D1035" i="7"/>
  <c r="E1036" i="7"/>
  <c r="D1036" i="7"/>
  <c r="D1037" i="7"/>
  <c r="E1037" i="7"/>
  <c r="D1038" i="7"/>
  <c r="E1038" i="7"/>
  <c r="D1039" i="7"/>
  <c r="E1039" i="7"/>
  <c r="D1040" i="7"/>
  <c r="E1040" i="7"/>
  <c r="E1041" i="7"/>
  <c r="D1041" i="7"/>
  <c r="D1042" i="7"/>
  <c r="E1042" i="7"/>
  <c r="D1043" i="7"/>
  <c r="E1043" i="7"/>
  <c r="D1044" i="7"/>
  <c r="E1044" i="7"/>
  <c r="D1045" i="7"/>
  <c r="E1045" i="7"/>
  <c r="D1046" i="7"/>
  <c r="E1046" i="7"/>
  <c r="D1047" i="7"/>
  <c r="E1047" i="7"/>
  <c r="D1048" i="7"/>
  <c r="E1048" i="7"/>
  <c r="E1049" i="7"/>
  <c r="D1049" i="7"/>
  <c r="D1050" i="7"/>
  <c r="E1050" i="7"/>
  <c r="E1051" i="7"/>
  <c r="D1051" i="7"/>
  <c r="E1052" i="7"/>
  <c r="D1052" i="7"/>
  <c r="D1053" i="7"/>
  <c r="E1053" i="7"/>
  <c r="D1054" i="7"/>
  <c r="E1054" i="7"/>
  <c r="D1055" i="7"/>
  <c r="E1055" i="7"/>
  <c r="E1056" i="7"/>
  <c r="D1056" i="7"/>
  <c r="D1057" i="7"/>
  <c r="E1057" i="7"/>
  <c r="D1058" i="7"/>
  <c r="E1058" i="7"/>
  <c r="D1059" i="7"/>
  <c r="E1059" i="7"/>
  <c r="D1060" i="7"/>
  <c r="E1060" i="7"/>
  <c r="D1061" i="7"/>
  <c r="E1061" i="7"/>
  <c r="D1062" i="7"/>
  <c r="E1062" i="7"/>
  <c r="D1063" i="7"/>
  <c r="E1063" i="7"/>
  <c r="D1064" i="7"/>
  <c r="E1064" i="7"/>
  <c r="D1065" i="7"/>
  <c r="E1065" i="7"/>
  <c r="D1066" i="7"/>
  <c r="E1066" i="7"/>
  <c r="D1067" i="7"/>
  <c r="E1067" i="7"/>
  <c r="D1068" i="7"/>
  <c r="E1068" i="7"/>
  <c r="D1069" i="7"/>
  <c r="E1069" i="7"/>
  <c r="D1070" i="7"/>
  <c r="E1070" i="7"/>
  <c r="D1071" i="7"/>
  <c r="E1071" i="7"/>
  <c r="D1072" i="7"/>
  <c r="E1072" i="7"/>
  <c r="D1073" i="7"/>
  <c r="E1073" i="7"/>
  <c r="D1074" i="7"/>
  <c r="E1074" i="7"/>
  <c r="D1075" i="7"/>
  <c r="E1075" i="7"/>
  <c r="D1076" i="7"/>
  <c r="E1076" i="7"/>
  <c r="D1077" i="7"/>
  <c r="E1077" i="7"/>
  <c r="D1078" i="7"/>
  <c r="E1078" i="7"/>
  <c r="D1079" i="7"/>
  <c r="E1079" i="7"/>
  <c r="D1080" i="7"/>
  <c r="E1080" i="7"/>
  <c r="D1081" i="7"/>
  <c r="E1081" i="7"/>
  <c r="D1082" i="7"/>
  <c r="E1082" i="7"/>
  <c r="D1083" i="7"/>
  <c r="E1083" i="7"/>
  <c r="D1084" i="7"/>
  <c r="E1084" i="7"/>
  <c r="D1085" i="7"/>
  <c r="E1085" i="7"/>
  <c r="D1086" i="7"/>
  <c r="E1086" i="7"/>
  <c r="D1087" i="7"/>
  <c r="E1087" i="7"/>
  <c r="D1088" i="7"/>
  <c r="E1088" i="7"/>
  <c r="E1089" i="7"/>
  <c r="D1089" i="7"/>
  <c r="D1090" i="7"/>
  <c r="E1090" i="7"/>
  <c r="D1091" i="7"/>
  <c r="E1091" i="7"/>
  <c r="D1092" i="7"/>
  <c r="E1092" i="7"/>
  <c r="D1093" i="7"/>
  <c r="E1093" i="7"/>
  <c r="D1094" i="7"/>
  <c r="E1094" i="7"/>
  <c r="D1095" i="7"/>
  <c r="E1095" i="7"/>
  <c r="D1096" i="7"/>
  <c r="E1096" i="7"/>
  <c r="D1097" i="7"/>
  <c r="E1097" i="7"/>
  <c r="D1098" i="7"/>
  <c r="E1098" i="7"/>
  <c r="D1099" i="7"/>
  <c r="E1099" i="7"/>
  <c r="E1100" i="7"/>
  <c r="D1100" i="7"/>
  <c r="E1101" i="7"/>
  <c r="D1101" i="7"/>
  <c r="E1102" i="7"/>
  <c r="D1102" i="7"/>
  <c r="E1103" i="7"/>
  <c r="D1103" i="7"/>
  <c r="E1104" i="7"/>
  <c r="D1104" i="7"/>
  <c r="E1105" i="7"/>
  <c r="D1105" i="7"/>
  <c r="E1106" i="7"/>
  <c r="D1106" i="7"/>
  <c r="E1107" i="7"/>
  <c r="D1107" i="7"/>
  <c r="D1108" i="7"/>
  <c r="E1108" i="7"/>
  <c r="D1109" i="7"/>
  <c r="E1109" i="7"/>
  <c r="D1110" i="7"/>
  <c r="E1110" i="7"/>
  <c r="D1111" i="7"/>
  <c r="E1111" i="7"/>
  <c r="D1112" i="7"/>
  <c r="E1112" i="7"/>
  <c r="D1113" i="7"/>
  <c r="E1113" i="7"/>
  <c r="D1114" i="7"/>
  <c r="E1114" i="7"/>
  <c r="D1115" i="7"/>
  <c r="E1115" i="7"/>
  <c r="D1116" i="7"/>
  <c r="E1116" i="7"/>
  <c r="D1117" i="7"/>
  <c r="E1117" i="7"/>
  <c r="D1118" i="7"/>
  <c r="E1118" i="7"/>
  <c r="E1119" i="7"/>
  <c r="D1119" i="7"/>
  <c r="E1120" i="7"/>
  <c r="D1120" i="7"/>
  <c r="E1121" i="7"/>
  <c r="D1121" i="7"/>
  <c r="E1122" i="7"/>
  <c r="D1122" i="7"/>
  <c r="D1123" i="7"/>
  <c r="E1123" i="7"/>
  <c r="D1124" i="7"/>
  <c r="E1124" i="7"/>
  <c r="D1125" i="7"/>
  <c r="E1125" i="7"/>
  <c r="D1126" i="7"/>
  <c r="E1126" i="7"/>
  <c r="D1127" i="7"/>
  <c r="E1127" i="7"/>
  <c r="D1128" i="7"/>
  <c r="E1128" i="7"/>
  <c r="D1129" i="7"/>
  <c r="E1129" i="7"/>
  <c r="D1130" i="7"/>
  <c r="E1130" i="7"/>
  <c r="D1131" i="7"/>
  <c r="E1131" i="7"/>
  <c r="D1132" i="7"/>
  <c r="E1132" i="7"/>
  <c r="D1133" i="7"/>
  <c r="E1133" i="7"/>
  <c r="E1134" i="7"/>
  <c r="D1134" i="7"/>
  <c r="D1135" i="7"/>
  <c r="E1135" i="7"/>
  <c r="D1136" i="7"/>
  <c r="E1136" i="7"/>
  <c r="D1137" i="7"/>
  <c r="E1137" i="7"/>
  <c r="D1138" i="7"/>
  <c r="E1138" i="7"/>
  <c r="D1139" i="7"/>
  <c r="E1139" i="7"/>
  <c r="D1140" i="7"/>
  <c r="E1140" i="7"/>
  <c r="E1141" i="7"/>
  <c r="D1141" i="7"/>
  <c r="D1142" i="7"/>
  <c r="E1142" i="7"/>
  <c r="D1143" i="7"/>
  <c r="E1143" i="7"/>
  <c r="D1144" i="7"/>
  <c r="E1144" i="7"/>
  <c r="D1145" i="7"/>
  <c r="E1145" i="7"/>
  <c r="D1146" i="7"/>
  <c r="E1146" i="7"/>
  <c r="D1147" i="7"/>
  <c r="E1147" i="7"/>
  <c r="D1148" i="7"/>
  <c r="E1148" i="7"/>
  <c r="D1149" i="7"/>
  <c r="E1149" i="7"/>
  <c r="D1150" i="7"/>
  <c r="E1150" i="7"/>
  <c r="D1151" i="7"/>
  <c r="E1151" i="7"/>
  <c r="D1152" i="7"/>
  <c r="E1152" i="7"/>
  <c r="D1153" i="7"/>
  <c r="E1153" i="7"/>
  <c r="D1154" i="7"/>
  <c r="E1154" i="7"/>
  <c r="D1155" i="7"/>
  <c r="E1155" i="7"/>
  <c r="D1156" i="7"/>
  <c r="E1156" i="7"/>
  <c r="D1157" i="7"/>
  <c r="E1157" i="7"/>
  <c r="D1158" i="7"/>
  <c r="E1158" i="7"/>
  <c r="D1159" i="7"/>
  <c r="E1159" i="7"/>
  <c r="D1160" i="7"/>
  <c r="E1160" i="7"/>
  <c r="E1161" i="7"/>
  <c r="D1161" i="7"/>
  <c r="D1162" i="7"/>
  <c r="E1162" i="7"/>
  <c r="D1163" i="7"/>
  <c r="E1163" i="7"/>
  <c r="D1164" i="7"/>
  <c r="E1164" i="7"/>
  <c r="E1165" i="7"/>
  <c r="D1165" i="7"/>
  <c r="E1166" i="7"/>
  <c r="D1166" i="7"/>
  <c r="E1167" i="7"/>
  <c r="D1167" i="7"/>
  <c r="E1168" i="7"/>
  <c r="D1168" i="7"/>
  <c r="E1169" i="7"/>
  <c r="D1169" i="7"/>
  <c r="E1170" i="7"/>
  <c r="D1170" i="7"/>
  <c r="E1171" i="7"/>
  <c r="D1171" i="7"/>
  <c r="D1172" i="7"/>
  <c r="E1172" i="7"/>
  <c r="D1173" i="7"/>
  <c r="E1173" i="7"/>
  <c r="E1174" i="7"/>
  <c r="D1174" i="7"/>
  <c r="E1175" i="7"/>
  <c r="D1175" i="7"/>
  <c r="D1176" i="7"/>
  <c r="E1176" i="7"/>
  <c r="E1177" i="7"/>
  <c r="D1177" i="7"/>
  <c r="E1178" i="7"/>
  <c r="D1178" i="7"/>
  <c r="D1179" i="7"/>
  <c r="E1179" i="7"/>
  <c r="E1180" i="7"/>
  <c r="D1180" i="7"/>
  <c r="D1181" i="7"/>
  <c r="E1181" i="7"/>
  <c r="D1182" i="7"/>
  <c r="E1182" i="7"/>
  <c r="E1183" i="7"/>
  <c r="D1183" i="7"/>
  <c r="E1184" i="7"/>
  <c r="D1184" i="7"/>
  <c r="E1185" i="7"/>
  <c r="D1185" i="7"/>
  <c r="E1186" i="7"/>
  <c r="D1186" i="7"/>
  <c r="D1187" i="7"/>
  <c r="E1187" i="7"/>
  <c r="D1188" i="7"/>
  <c r="E1188" i="7"/>
  <c r="E1189" i="7"/>
  <c r="D1189" i="7"/>
  <c r="E1190" i="7"/>
  <c r="D1190" i="7"/>
  <c r="D1191" i="7"/>
  <c r="E1191" i="7"/>
  <c r="D1192" i="7"/>
  <c r="E1192" i="7"/>
  <c r="D1193" i="7"/>
  <c r="E1193" i="7"/>
  <c r="D1194" i="7"/>
  <c r="E1194" i="7"/>
  <c r="D1195" i="7"/>
  <c r="E1195" i="7"/>
  <c r="D1196" i="7"/>
  <c r="E1196" i="7"/>
  <c r="D1197" i="7"/>
  <c r="E1197" i="7"/>
  <c r="D1198" i="7"/>
  <c r="E1198" i="7"/>
  <c r="D1199" i="7"/>
  <c r="E1199" i="7"/>
  <c r="D1200" i="7"/>
  <c r="E1200" i="7"/>
  <c r="D1201" i="7"/>
  <c r="E1201" i="7"/>
  <c r="E1202" i="7"/>
  <c r="D1202" i="7"/>
  <c r="D1203" i="7"/>
  <c r="E1203" i="7"/>
  <c r="E1204" i="7"/>
  <c r="D1204" i="7"/>
  <c r="E1205" i="7"/>
  <c r="D1205" i="7"/>
  <c r="E1206" i="7"/>
  <c r="D1206" i="7"/>
  <c r="D1207" i="7"/>
  <c r="E1207" i="7"/>
  <c r="D1208" i="7"/>
  <c r="E1208" i="7"/>
  <c r="D1209" i="7"/>
  <c r="E1209" i="7"/>
  <c r="D1210" i="7"/>
  <c r="E1210" i="7"/>
  <c r="D1211" i="7"/>
  <c r="E1211" i="7"/>
  <c r="D1212" i="7"/>
  <c r="E1212" i="7"/>
  <c r="D1213" i="7"/>
  <c r="E1213" i="7"/>
  <c r="D1214" i="7"/>
  <c r="E1214" i="7"/>
  <c r="D1215" i="7"/>
  <c r="E1215" i="7"/>
  <c r="D1216" i="7"/>
  <c r="E1216" i="7"/>
  <c r="D1217" i="7"/>
  <c r="E1217" i="7"/>
  <c r="D1218" i="7"/>
  <c r="E1218" i="7"/>
  <c r="D1219" i="7"/>
  <c r="E1219" i="7"/>
  <c r="D1220" i="7"/>
  <c r="E1220" i="7"/>
  <c r="D1221" i="7"/>
  <c r="E1221" i="7"/>
  <c r="D1222" i="7"/>
  <c r="E1222" i="7"/>
  <c r="D1223" i="7"/>
  <c r="E1223" i="7"/>
  <c r="E1224" i="7"/>
  <c r="D1224" i="7"/>
  <c r="E1225" i="7"/>
  <c r="D1225" i="7"/>
  <c r="E1226" i="7"/>
  <c r="D1226" i="7"/>
  <c r="D1227" i="7"/>
  <c r="E1227" i="7"/>
  <c r="D1228" i="7"/>
  <c r="E1228" i="7"/>
  <c r="D1229" i="7"/>
  <c r="E1229" i="7"/>
  <c r="D1230" i="7"/>
  <c r="E1230" i="7"/>
  <c r="D1231" i="7"/>
  <c r="E1231" i="7"/>
  <c r="E1232" i="7"/>
  <c r="D1232" i="7"/>
  <c r="D1233" i="7"/>
  <c r="E1233" i="7"/>
  <c r="E1234" i="7"/>
  <c r="D1234" i="7"/>
  <c r="E1235" i="7"/>
  <c r="D1235" i="7"/>
  <c r="E1236" i="7"/>
  <c r="D1236" i="7"/>
  <c r="D1237" i="7"/>
  <c r="E1237" i="7"/>
  <c r="D1238" i="7"/>
  <c r="E1238" i="7"/>
  <c r="D1239" i="7"/>
  <c r="E1239" i="7"/>
  <c r="D1240" i="7"/>
  <c r="E1240" i="7"/>
  <c r="D1241" i="7"/>
  <c r="E1241" i="7"/>
  <c r="D1242" i="7"/>
  <c r="E1242" i="7"/>
  <c r="D1243" i="7"/>
  <c r="E1243" i="7"/>
  <c r="D1244" i="7"/>
  <c r="E1244" i="7"/>
  <c r="D1245" i="7"/>
  <c r="E1245" i="7"/>
  <c r="D1246" i="7"/>
  <c r="E1246" i="7"/>
  <c r="D1247" i="7"/>
  <c r="E1247" i="7"/>
  <c r="D1248" i="7"/>
  <c r="E1248" i="7"/>
  <c r="D1249" i="7"/>
  <c r="E1249" i="7"/>
  <c r="D1250" i="7"/>
  <c r="E1250" i="7"/>
  <c r="D1251" i="7"/>
  <c r="E1251" i="7"/>
  <c r="D1252" i="7"/>
  <c r="E1252" i="7"/>
  <c r="D1253" i="7"/>
  <c r="E1253" i="7"/>
  <c r="D1254" i="7"/>
  <c r="E1254" i="7"/>
  <c r="D1255" i="7"/>
  <c r="E1255" i="7"/>
  <c r="D1256" i="7"/>
  <c r="E1256" i="7"/>
  <c r="D1257" i="7"/>
  <c r="E1257" i="7"/>
  <c r="D1258" i="7"/>
  <c r="E1258" i="7"/>
  <c r="F41" i="2" l="1"/>
  <c r="F49" i="2" s="1"/>
  <c r="F51" i="2" s="1"/>
  <c r="G33" i="3"/>
  <c r="F41" i="3"/>
  <c r="F43" i="3" s="1"/>
  <c r="G38" i="3"/>
  <c r="G46" i="2" s="1"/>
  <c r="G45" i="2"/>
  <c r="F38" i="3"/>
  <c r="F46" i="2" s="1"/>
  <c r="F45" i="2"/>
  <c r="E38" i="3"/>
  <c r="E46" i="2" s="1"/>
  <c r="E45" i="2"/>
  <c r="D38" i="3"/>
  <c r="D46" i="2" s="1"/>
  <c r="D45" i="2"/>
  <c r="C38" i="3"/>
  <c r="C46" i="2" s="1"/>
  <c r="C45" i="2"/>
  <c r="E26" i="2"/>
  <c r="E34" i="2" s="1"/>
  <c r="E27" i="3"/>
  <c r="F19" i="3"/>
  <c r="G35" i="2"/>
  <c r="G30" i="2"/>
  <c r="F35" i="2"/>
  <c r="F24" i="3"/>
  <c r="F31" i="2" s="1"/>
  <c r="F30" i="2"/>
  <c r="E30" i="2"/>
  <c r="E24" i="3"/>
  <c r="E31" i="2" s="1"/>
  <c r="E29" i="3"/>
  <c r="E36" i="2" s="1"/>
  <c r="E35" i="2"/>
  <c r="D29" i="3"/>
  <c r="D36" i="2" s="1"/>
  <c r="D35" i="2"/>
  <c r="D24" i="3"/>
  <c r="D31" i="2" s="1"/>
  <c r="D30" i="2"/>
  <c r="C29" i="3"/>
  <c r="C36" i="2" s="1"/>
  <c r="C35" i="2"/>
  <c r="C24" i="3"/>
  <c r="C31" i="2" s="1"/>
  <c r="C30" i="2"/>
  <c r="E13" i="3"/>
  <c r="E15" i="3" s="1"/>
  <c r="E19" i="2" s="1"/>
  <c r="E21" i="2" s="1"/>
  <c r="F5" i="3"/>
  <c r="D21" i="2"/>
  <c r="C21" i="2"/>
  <c r="G41" i="2" l="1"/>
  <c r="G49" i="2" s="1"/>
  <c r="G51" i="2" s="1"/>
  <c r="G41" i="3"/>
  <c r="G43" i="3" s="1"/>
  <c r="F26" i="2"/>
  <c r="F34" i="2" s="1"/>
  <c r="F27" i="3"/>
  <c r="F29" i="3" s="1"/>
  <c r="F36" i="2" s="1"/>
  <c r="G19" i="3"/>
  <c r="F10" i="3"/>
  <c r="F10" i="2" s="1"/>
  <c r="F13" i="3"/>
  <c r="F15" i="3" s="1"/>
  <c r="F19" i="2" s="1"/>
  <c r="G5" i="3"/>
  <c r="F21" i="2" l="1"/>
  <c r="G24" i="3"/>
  <c r="G31" i="2" s="1"/>
  <c r="G26" i="2"/>
  <c r="G34" i="2" s="1"/>
  <c r="G27" i="3"/>
  <c r="G29" i="3" s="1"/>
  <c r="G36" i="2" s="1"/>
  <c r="G10" i="3"/>
  <c r="G10" i="2" s="1"/>
  <c r="G13" i="3"/>
  <c r="G15" i="3" s="1"/>
  <c r="G19" i="2" s="1"/>
  <c r="G21" i="2" l="1"/>
</calcChain>
</file>

<file path=xl/sharedStrings.xml><?xml version="1.0" encoding="utf-8"?>
<sst xmlns="http://schemas.openxmlformats.org/spreadsheetml/2006/main" count="151" uniqueCount="94">
  <si>
    <t>observation_date</t>
  </si>
  <si>
    <t>WTISPLC</t>
  </si>
  <si>
    <t>Net Receivable Statement</t>
  </si>
  <si>
    <t>Particulars</t>
  </si>
  <si>
    <t>Incomes</t>
  </si>
  <si>
    <t>Refined Petroleum Sales Revenue</t>
  </si>
  <si>
    <t>Renewable Energy Revenue</t>
  </si>
  <si>
    <t>Renewable Energy Revenue is increasing by 3% and is constant throughout the year</t>
  </si>
  <si>
    <t>Service Charges Revenue</t>
  </si>
  <si>
    <t>Service Charges Revenue is increasing by 5% and is constant throughout the year</t>
  </si>
  <si>
    <t>Total Revenue</t>
  </si>
  <si>
    <t>Expenses</t>
  </si>
  <si>
    <t>Material Expenses</t>
  </si>
  <si>
    <t>Labor Expenses</t>
  </si>
  <si>
    <t>Labour Expenses is increasing by 3% and is constant throughout the year</t>
  </si>
  <si>
    <t>Fixed Expenses</t>
  </si>
  <si>
    <t>Variable Expenses</t>
  </si>
  <si>
    <t>Total Expenses</t>
  </si>
  <si>
    <t xml:space="preserve">Net Profit </t>
  </si>
  <si>
    <t xml:space="preserve">Optimistic Scenario </t>
  </si>
  <si>
    <t>Upper Confidence Level</t>
  </si>
  <si>
    <t>Units Sold- Optimistic</t>
  </si>
  <si>
    <t>Calculation Refined Petroleum Sales Revenue</t>
  </si>
  <si>
    <t>Premium for Refined Petroleum Products</t>
  </si>
  <si>
    <t>Price per Refined Petroleum Unit</t>
  </si>
  <si>
    <t>Total Refined Petroleum Sales</t>
  </si>
  <si>
    <t>Calculation Material Expenses</t>
  </si>
  <si>
    <t>Inventory (Units Sold)</t>
  </si>
  <si>
    <t>Raw Crude Price</t>
  </si>
  <si>
    <t>Total Material Expenses</t>
  </si>
  <si>
    <t xml:space="preserve">Pessimistic Scenario </t>
  </si>
  <si>
    <t>Lower Confidence Level</t>
  </si>
  <si>
    <t>Units Sold - Pessimistic</t>
  </si>
  <si>
    <t>Notes to Consider</t>
  </si>
  <si>
    <t>Current Scenario</t>
  </si>
  <si>
    <t>Note:</t>
  </si>
  <si>
    <t>Current Crude Price</t>
  </si>
  <si>
    <t>You will have to use the VLOOKUP Function here or manually enter the figures from the forecasting sheet</t>
  </si>
  <si>
    <t>Units Sold</t>
  </si>
  <si>
    <r>
      <rPr>
        <i/>
        <sz val="11"/>
        <color theme="1"/>
        <rFont val="Calibri"/>
        <family val="2"/>
      </rPr>
      <t xml:space="preserve">The Units sold is </t>
    </r>
    <r>
      <rPr>
        <b/>
        <i/>
        <sz val="11"/>
        <color theme="1"/>
        <rFont val="Calibri"/>
        <family val="2"/>
      </rPr>
      <t xml:space="preserve">increasing </t>
    </r>
    <r>
      <rPr>
        <i/>
        <sz val="11"/>
        <color theme="1"/>
        <rFont val="Calibri"/>
        <family val="2"/>
      </rPr>
      <t>by</t>
    </r>
    <r>
      <rPr>
        <b/>
        <i/>
        <sz val="11"/>
        <color theme="1"/>
        <rFont val="Calibri"/>
        <family val="2"/>
      </rPr>
      <t xml:space="preserve"> 10%</t>
    </r>
    <r>
      <rPr>
        <i/>
        <sz val="11"/>
        <color theme="1"/>
        <rFont val="Calibri"/>
        <family val="2"/>
      </rPr>
      <t xml:space="preserve"> every year</t>
    </r>
  </si>
  <si>
    <t>Premium of the Refined Petroleum Products remain constant</t>
  </si>
  <si>
    <t>You will have to add 17% premium on the Current Crude Price</t>
  </si>
  <si>
    <t>To find the Total Refined Petroleum Sales you will have to multiply the Units Sold with Price per Refined Petroleum Unit</t>
  </si>
  <si>
    <t>It’s the same as Units Sold</t>
  </si>
  <si>
    <t>Is the the same as Current Crude Price</t>
  </si>
  <si>
    <t>Total Material Expenses is when you will have to multiply Raw Crude Price with Units sold.</t>
  </si>
  <si>
    <r>
      <rPr>
        <i/>
        <sz val="11"/>
        <color theme="1"/>
        <rFont val="Calibri"/>
        <family val="2"/>
      </rPr>
      <t xml:space="preserve">The Units sold is </t>
    </r>
    <r>
      <rPr>
        <b/>
        <i/>
        <sz val="11"/>
        <color theme="1"/>
        <rFont val="Calibri"/>
        <family val="2"/>
      </rPr>
      <t>increasing</t>
    </r>
    <r>
      <rPr>
        <i/>
        <sz val="11"/>
        <color theme="1"/>
        <rFont val="Calibri"/>
        <family val="2"/>
      </rPr>
      <t xml:space="preserve"> by </t>
    </r>
    <r>
      <rPr>
        <b/>
        <i/>
        <sz val="11"/>
        <color theme="1"/>
        <rFont val="Calibri"/>
        <family val="2"/>
      </rPr>
      <t>13%</t>
    </r>
    <r>
      <rPr>
        <i/>
        <sz val="11"/>
        <color theme="1"/>
        <rFont val="Calibri"/>
        <family val="2"/>
      </rPr>
      <t xml:space="preserve"> every year</t>
    </r>
  </si>
  <si>
    <r>
      <rPr>
        <i/>
        <sz val="11"/>
        <color theme="1"/>
        <rFont val="Calibri"/>
        <family val="2"/>
      </rPr>
      <t xml:space="preserve">The Units sold is </t>
    </r>
    <r>
      <rPr>
        <b/>
        <i/>
        <sz val="11"/>
        <color theme="1"/>
        <rFont val="Calibri"/>
        <family val="2"/>
      </rPr>
      <t>decreasing</t>
    </r>
    <r>
      <rPr>
        <i/>
        <sz val="11"/>
        <color theme="1"/>
        <rFont val="Calibri"/>
        <family val="2"/>
      </rPr>
      <t xml:space="preserve"> by</t>
    </r>
    <r>
      <rPr>
        <b/>
        <i/>
        <sz val="11"/>
        <color theme="1"/>
        <rFont val="Calibri"/>
        <family val="2"/>
      </rPr>
      <t xml:space="preserve"> 8%</t>
    </r>
    <r>
      <rPr>
        <i/>
        <sz val="11"/>
        <color theme="1"/>
        <rFont val="Calibri"/>
        <family val="2"/>
      </rPr>
      <t xml:space="preserve"> every year</t>
    </r>
  </si>
  <si>
    <t>Forecast(WTISPLC)</t>
  </si>
  <si>
    <t>Lower Confidence Bound(WTISPLC)</t>
  </si>
  <si>
    <t>Upper Confidence Bound(WTISPLC)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</si>
  <si>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</si>
  <si>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</si>
  <si>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</si>
  <si>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</si>
  <si>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</si>
  <si>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</si>
  <si>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</si>
  <si>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</si>
  <si>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</si>
  <si>
    <t>$B$6</t>
  </si>
  <si>
    <t>$C$6</t>
  </si>
  <si>
    <t>$D$6</t>
  </si>
  <si>
    <t>$E$6</t>
  </si>
  <si>
    <t>$F$6</t>
  </si>
  <si>
    <t>$G$6</t>
  </si>
  <si>
    <t>$B$14</t>
  </si>
  <si>
    <t>$C$14</t>
  </si>
  <si>
    <t>$D$14</t>
  </si>
  <si>
    <t>$E$14</t>
  </si>
  <si>
    <t>$F$14</t>
  </si>
  <si>
    <t>$G$14</t>
  </si>
  <si>
    <t>$B$10</t>
  </si>
  <si>
    <t>$C$10</t>
  </si>
  <si>
    <t>$D$10</t>
  </si>
  <si>
    <t>$E$10</t>
  </si>
  <si>
    <t>$F$10</t>
  </si>
  <si>
    <t>$G$10</t>
  </si>
  <si>
    <t>$B$21</t>
  </si>
  <si>
    <t>$C$21</t>
  </si>
  <si>
    <t>$D$21</t>
  </si>
  <si>
    <t>$E$21</t>
  </si>
  <si>
    <t>$F$21</t>
  </si>
  <si>
    <t>$G$21</t>
  </si>
  <si>
    <t>optimistic</t>
  </si>
  <si>
    <t>Created by Anvar on 20/7/2026</t>
  </si>
  <si>
    <t>pessimistic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</si>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</sst>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7" formatCode="yyyy\-mm\-dd"/>
    <numFmt numFmtId="168" formatCode="&quot;$&quot;#,##0.00"/>
    <numFmt numFmtId="169" formatCode="0.000"/>
    <numFmt numFmtId="171" formatCode="[$-14409]yyyy\-mm\-dd;@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theme="5"/>
        <bgColor theme="5"/>
      </patternFill>
    </fill>
    <fill>
      <patternFill patternType="solid">
        <fgColor rgb="FFFFE598"/>
        <bgColor rgb="FFFFE598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2" borderId="1" xfId="0" applyFont="1" applyFill="1" applyBorder="1"/>
    <xf numFmtId="0" fontId="3" fillId="2" borderId="2" xfId="0" applyFont="1" applyFill="1" applyBorder="1"/>
    <xf numFmtId="0" fontId="3" fillId="2" borderId="1" xfId="0" applyFont="1" applyFill="1" applyBorder="1"/>
    <xf numFmtId="0" fontId="3" fillId="3" borderId="0" xfId="0" applyFont="1" applyFill="1"/>
    <xf numFmtId="0" fontId="3" fillId="3" borderId="3" xfId="0" applyFont="1" applyFill="1" applyBorder="1"/>
    <xf numFmtId="0" fontId="4" fillId="2" borderId="4" xfId="0" applyFont="1" applyFill="1" applyBorder="1"/>
    <xf numFmtId="167" fontId="2" fillId="2" borderId="5" xfId="0" applyNumberFormat="1" applyFont="1" applyFill="1" applyBorder="1"/>
    <xf numFmtId="167" fontId="2" fillId="2" borderId="6" xfId="0" applyNumberFormat="1" applyFont="1" applyFill="1" applyBorder="1"/>
    <xf numFmtId="167" fontId="2" fillId="2" borderId="7" xfId="0" applyNumberFormat="1" applyFont="1" applyFill="1" applyBorder="1"/>
    <xf numFmtId="167" fontId="2" fillId="2" borderId="8" xfId="0" applyNumberFormat="1" applyFont="1" applyFill="1" applyBorder="1"/>
    <xf numFmtId="0" fontId="5" fillId="3" borderId="3" xfId="0" applyFont="1" applyFill="1" applyBorder="1"/>
    <xf numFmtId="0" fontId="4" fillId="2" borderId="9" xfId="0" applyFont="1" applyFill="1" applyBorder="1"/>
    <xf numFmtId="168" fontId="4" fillId="2" borderId="8" xfId="0" applyNumberFormat="1" applyFont="1" applyFill="1" applyBorder="1"/>
    <xf numFmtId="0" fontId="3" fillId="3" borderId="8" xfId="0" applyFont="1" applyFill="1" applyBorder="1"/>
    <xf numFmtId="0" fontId="3" fillId="3" borderId="10" xfId="0" applyFont="1" applyFill="1" applyBorder="1"/>
    <xf numFmtId="0" fontId="3" fillId="3" borderId="7" xfId="0" applyFont="1" applyFill="1" applyBorder="1"/>
    <xf numFmtId="0" fontId="4" fillId="2" borderId="11" xfId="0" applyFont="1" applyFill="1" applyBorder="1"/>
    <xf numFmtId="0" fontId="4" fillId="2" borderId="8" xfId="0" applyFont="1" applyFill="1" applyBorder="1"/>
    <xf numFmtId="0" fontId="3" fillId="3" borderId="9" xfId="0" applyFont="1" applyFill="1" applyBorder="1"/>
    <xf numFmtId="0" fontId="3" fillId="3" borderId="12" xfId="0" applyFont="1" applyFill="1" applyBorder="1"/>
    <xf numFmtId="0" fontId="2" fillId="2" borderId="13" xfId="0" applyFont="1" applyFill="1" applyBorder="1" applyAlignment="1">
      <alignment horizontal="center"/>
    </xf>
    <xf numFmtId="167" fontId="2" fillId="2" borderId="10" xfId="0" applyNumberFormat="1" applyFont="1" applyFill="1" applyBorder="1"/>
    <xf numFmtId="0" fontId="5" fillId="3" borderId="13" xfId="0" applyFont="1" applyFill="1" applyBorder="1"/>
    <xf numFmtId="9" fontId="5" fillId="2" borderId="8" xfId="0" applyNumberFormat="1" applyFont="1" applyFill="1" applyBorder="1"/>
    <xf numFmtId="9" fontId="5" fillId="3" borderId="8" xfId="0" applyNumberFormat="1" applyFont="1" applyFill="1" applyBorder="1"/>
    <xf numFmtId="9" fontId="5" fillId="3" borderId="10" xfId="0" applyNumberFormat="1" applyFont="1" applyFill="1" applyBorder="1"/>
    <xf numFmtId="9" fontId="5" fillId="3" borderId="7" xfId="0" applyNumberFormat="1" applyFont="1" applyFill="1" applyBorder="1"/>
    <xf numFmtId="168" fontId="5" fillId="2" borderId="8" xfId="0" applyNumberFormat="1" applyFont="1" applyFill="1" applyBorder="1"/>
    <xf numFmtId="168" fontId="5" fillId="3" borderId="8" xfId="0" applyNumberFormat="1" applyFont="1" applyFill="1" applyBorder="1"/>
    <xf numFmtId="168" fontId="5" fillId="3" borderId="10" xfId="0" applyNumberFormat="1" applyFont="1" applyFill="1" applyBorder="1"/>
    <xf numFmtId="168" fontId="5" fillId="3" borderId="7" xfId="0" applyNumberFormat="1" applyFont="1" applyFill="1" applyBorder="1"/>
    <xf numFmtId="3" fontId="5" fillId="2" borderId="8" xfId="0" applyNumberFormat="1" applyFont="1" applyFill="1" applyBorder="1"/>
    <xf numFmtId="3" fontId="5" fillId="3" borderId="8" xfId="0" applyNumberFormat="1" applyFont="1" applyFill="1" applyBorder="1"/>
    <xf numFmtId="3" fontId="5" fillId="3" borderId="10" xfId="0" applyNumberFormat="1" applyFont="1" applyFill="1" applyBorder="1"/>
    <xf numFmtId="3" fontId="5" fillId="3" borderId="7" xfId="0" applyNumberFormat="1" applyFont="1" applyFill="1" applyBorder="1"/>
    <xf numFmtId="0" fontId="5" fillId="3" borderId="14" xfId="0" applyFont="1" applyFill="1" applyBorder="1"/>
    <xf numFmtId="168" fontId="5" fillId="2" borderId="15" xfId="0" applyNumberFormat="1" applyFont="1" applyFill="1" applyBorder="1"/>
    <xf numFmtId="168" fontId="5" fillId="3" borderId="15" xfId="0" applyNumberFormat="1" applyFont="1" applyFill="1" applyBorder="1"/>
    <xf numFmtId="168" fontId="5" fillId="3" borderId="16" xfId="0" applyNumberFormat="1" applyFont="1" applyFill="1" applyBorder="1"/>
    <xf numFmtId="0" fontId="2" fillId="4" borderId="4" xfId="0" applyFont="1" applyFill="1" applyBorder="1"/>
    <xf numFmtId="167" fontId="2" fillId="4" borderId="5" xfId="0" applyNumberFormat="1" applyFont="1" applyFill="1" applyBorder="1"/>
    <xf numFmtId="167" fontId="2" fillId="4" borderId="6" xfId="0" applyNumberFormat="1" applyFont="1" applyFill="1" applyBorder="1"/>
    <xf numFmtId="167" fontId="2" fillId="4" borderId="7" xfId="0" applyNumberFormat="1" applyFont="1" applyFill="1" applyBorder="1"/>
    <xf numFmtId="167" fontId="2" fillId="4" borderId="8" xfId="0" applyNumberFormat="1" applyFont="1" applyFill="1" applyBorder="1"/>
    <xf numFmtId="0" fontId="4" fillId="4" borderId="13" xfId="0" applyFont="1" applyFill="1" applyBorder="1"/>
    <xf numFmtId="0" fontId="3" fillId="4" borderId="8" xfId="0" applyFont="1" applyFill="1" applyBorder="1"/>
    <xf numFmtId="0" fontId="5" fillId="4" borderId="8" xfId="0" applyFont="1" applyFill="1" applyBorder="1"/>
    <xf numFmtId="0" fontId="2" fillId="4" borderId="13" xfId="0" applyFont="1" applyFill="1" applyBorder="1" applyAlignment="1">
      <alignment horizontal="center"/>
    </xf>
    <xf numFmtId="167" fontId="2" fillId="4" borderId="10" xfId="0" applyNumberFormat="1" applyFont="1" applyFill="1" applyBorder="1"/>
    <xf numFmtId="9" fontId="5" fillId="4" borderId="8" xfId="0" applyNumberFormat="1" applyFont="1" applyFill="1" applyBorder="1"/>
    <xf numFmtId="168" fontId="5" fillId="4" borderId="8" xfId="0" applyNumberFormat="1" applyFont="1" applyFill="1" applyBorder="1"/>
    <xf numFmtId="3" fontId="5" fillId="4" borderId="8" xfId="0" applyNumberFormat="1" applyFont="1" applyFill="1" applyBorder="1"/>
    <xf numFmtId="168" fontId="5" fillId="4" borderId="15" xfId="0" applyNumberFormat="1" applyFont="1" applyFill="1" applyBorder="1"/>
    <xf numFmtId="0" fontId="2" fillId="5" borderId="4" xfId="0" applyFont="1" applyFill="1" applyBorder="1"/>
    <xf numFmtId="167" fontId="2" fillId="5" borderId="5" xfId="0" applyNumberFormat="1" applyFont="1" applyFill="1" applyBorder="1"/>
    <xf numFmtId="167" fontId="2" fillId="5" borderId="6" xfId="0" applyNumberFormat="1" applyFont="1" applyFill="1" applyBorder="1"/>
    <xf numFmtId="167" fontId="2" fillId="5" borderId="7" xfId="0" applyNumberFormat="1" applyFont="1" applyFill="1" applyBorder="1"/>
    <xf numFmtId="167" fontId="2" fillId="5" borderId="8" xfId="0" applyNumberFormat="1" applyFont="1" applyFill="1" applyBorder="1"/>
    <xf numFmtId="0" fontId="4" fillId="5" borderId="13" xfId="0" applyFont="1" applyFill="1" applyBorder="1"/>
    <xf numFmtId="0" fontId="3" fillId="5" borderId="8" xfId="0" applyFont="1" applyFill="1" applyBorder="1"/>
    <xf numFmtId="0" fontId="2" fillId="5" borderId="13" xfId="0" applyFont="1" applyFill="1" applyBorder="1" applyAlignment="1">
      <alignment horizontal="center"/>
    </xf>
    <xf numFmtId="167" fontId="2" fillId="5" borderId="10" xfId="0" applyNumberFormat="1" applyFont="1" applyFill="1" applyBorder="1"/>
    <xf numFmtId="9" fontId="5" fillId="5" borderId="8" xfId="0" applyNumberFormat="1" applyFont="1" applyFill="1" applyBorder="1"/>
    <xf numFmtId="168" fontId="5" fillId="5" borderId="8" xfId="0" applyNumberFormat="1" applyFont="1" applyFill="1" applyBorder="1"/>
    <xf numFmtId="3" fontId="5" fillId="5" borderId="8" xfId="0" applyNumberFormat="1" applyFont="1" applyFill="1" applyBorder="1"/>
    <xf numFmtId="168" fontId="5" fillId="5" borderId="15" xfId="0" applyNumberFormat="1" applyFont="1" applyFill="1" applyBorder="1"/>
    <xf numFmtId="0" fontId="2" fillId="6" borderId="4" xfId="0" applyFont="1" applyFill="1" applyBorder="1" applyAlignment="1">
      <alignment horizontal="center"/>
    </xf>
    <xf numFmtId="167" fontId="2" fillId="6" borderId="5" xfId="0" applyNumberFormat="1" applyFont="1" applyFill="1" applyBorder="1" applyAlignment="1">
      <alignment horizontal="center"/>
    </xf>
    <xf numFmtId="167" fontId="2" fillId="6" borderId="6" xfId="0" applyNumberFormat="1" applyFont="1" applyFill="1" applyBorder="1" applyAlignment="1">
      <alignment horizontal="center"/>
    </xf>
    <xf numFmtId="0" fontId="3" fillId="3" borderId="20" xfId="0" applyFont="1" applyFill="1" applyBorder="1"/>
    <xf numFmtId="0" fontId="3" fillId="3" borderId="21" xfId="0" applyFont="1" applyFill="1" applyBorder="1"/>
    <xf numFmtId="0" fontId="3" fillId="3" borderId="22" xfId="0" applyFont="1" applyFill="1" applyBorder="1"/>
    <xf numFmtId="0" fontId="3" fillId="3" borderId="23" xfId="0" applyFont="1" applyFill="1" applyBorder="1"/>
    <xf numFmtId="0" fontId="3" fillId="3" borderId="24" xfId="0" applyFont="1" applyFill="1" applyBorder="1"/>
    <xf numFmtId="0" fontId="3" fillId="3" borderId="25" xfId="0" applyFont="1" applyFill="1" applyBorder="1"/>
    <xf numFmtId="0" fontId="5" fillId="3" borderId="23" xfId="0" applyFont="1" applyFill="1" applyBorder="1"/>
    <xf numFmtId="168" fontId="5" fillId="3" borderId="24" xfId="0" applyNumberFormat="1" applyFont="1" applyFill="1" applyBorder="1"/>
    <xf numFmtId="168" fontId="5" fillId="3" borderId="25" xfId="0" applyNumberFormat="1" applyFont="1" applyFill="1" applyBorder="1"/>
    <xf numFmtId="9" fontId="5" fillId="3" borderId="0" xfId="0" applyNumberFormat="1" applyFont="1" applyFill="1"/>
    <xf numFmtId="0" fontId="3" fillId="3" borderId="26" xfId="0" applyFont="1" applyFill="1" applyBorder="1"/>
    <xf numFmtId="168" fontId="3" fillId="3" borderId="27" xfId="0" applyNumberFormat="1" applyFont="1" applyFill="1" applyBorder="1"/>
    <xf numFmtId="168" fontId="3" fillId="3" borderId="28" xfId="0" applyNumberFormat="1" applyFont="1" applyFill="1" applyBorder="1"/>
    <xf numFmtId="0" fontId="4" fillId="3" borderId="26" xfId="0" applyFont="1" applyFill="1" applyBorder="1"/>
    <xf numFmtId="168" fontId="4" fillId="3" borderId="27" xfId="0" applyNumberFormat="1" applyFont="1" applyFill="1" applyBorder="1"/>
    <xf numFmtId="168" fontId="4" fillId="3" borderId="28" xfId="0" applyNumberFormat="1" applyFont="1" applyFill="1" applyBorder="1"/>
    <xf numFmtId="0" fontId="2" fillId="3" borderId="23" xfId="0" applyFont="1" applyFill="1" applyBorder="1"/>
    <xf numFmtId="0" fontId="2" fillId="6" borderId="29" xfId="0" applyFont="1" applyFill="1" applyBorder="1"/>
    <xf numFmtId="168" fontId="2" fillId="6" borderId="30" xfId="0" applyNumberFormat="1" applyFont="1" applyFill="1" applyBorder="1"/>
    <xf numFmtId="168" fontId="2" fillId="6" borderId="31" xfId="0" applyNumberFormat="1" applyFont="1" applyFill="1" applyBorder="1"/>
    <xf numFmtId="0" fontId="2" fillId="5" borderId="4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167" fontId="3" fillId="0" borderId="3" xfId="0" applyNumberFormat="1" applyFont="1" applyBorder="1" applyAlignment="1">
      <alignment horizontal="center"/>
    </xf>
    <xf numFmtId="169" fontId="3" fillId="0" borderId="24" xfId="0" applyNumberFormat="1" applyFont="1" applyBorder="1" applyAlignment="1">
      <alignment horizontal="center"/>
    </xf>
    <xf numFmtId="167" fontId="3" fillId="0" borderId="32" xfId="0" applyNumberFormat="1" applyFont="1" applyBorder="1" applyAlignment="1">
      <alignment horizontal="center"/>
    </xf>
    <xf numFmtId="169" fontId="3" fillId="0" borderId="27" xfId="0" applyNumberFormat="1" applyFont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6" fillId="0" borderId="18" xfId="0" applyFont="1" applyBorder="1"/>
    <xf numFmtId="0" fontId="6" fillId="0" borderId="19" xfId="0" applyFont="1" applyBorder="1"/>
    <xf numFmtId="0" fontId="4" fillId="6" borderId="17" xfId="0" applyFont="1" applyFill="1" applyBorder="1" applyAlignment="1">
      <alignment horizontal="center"/>
    </xf>
    <xf numFmtId="0" fontId="1" fillId="0" borderId="0" xfId="0" applyFont="1"/>
    <xf numFmtId="14" fontId="0" fillId="0" borderId="0" xfId="0" applyNumberFormat="1"/>
    <xf numFmtId="167" fontId="0" fillId="0" borderId="0" xfId="0" applyNumberFormat="1"/>
    <xf numFmtId="169" fontId="0" fillId="0" borderId="0" xfId="0" applyNumberFormat="1"/>
    <xf numFmtId="4" fontId="0" fillId="0" borderId="0" xfId="0" applyNumberFormat="1"/>
    <xf numFmtId="171" fontId="3" fillId="3" borderId="0" xfId="0" applyNumberFormat="1" applyFont="1" applyFill="1"/>
    <xf numFmtId="0" fontId="0" fillId="0" borderId="0" xfId="0" applyFill="1" applyBorder="1" applyAlignment="1"/>
    <xf numFmtId="168" fontId="0" fillId="0" borderId="0" xfId="0" applyNumberFormat="1" applyFill="1" applyBorder="1" applyAlignment="1"/>
    <xf numFmtId="168" fontId="0" fillId="0" borderId="34" xfId="0" applyNumberFormat="1" applyFill="1" applyBorder="1" applyAlignment="1"/>
    <xf numFmtId="0" fontId="7" fillId="7" borderId="35" xfId="0" applyFont="1" applyFill="1" applyBorder="1" applyAlignment="1">
      <alignment horizontal="left"/>
    </xf>
    <xf numFmtId="0" fontId="7" fillId="7" borderId="33" xfId="0" applyFont="1" applyFill="1" applyBorder="1" applyAlignment="1">
      <alignment horizontal="left"/>
    </xf>
    <xf numFmtId="0" fontId="0" fillId="0" borderId="36" xfId="0" applyFill="1" applyBorder="1" applyAlignment="1"/>
    <xf numFmtId="0" fontId="8" fillId="8" borderId="0" xfId="0" applyFont="1" applyFill="1" applyBorder="1" applyAlignment="1">
      <alignment horizontal="left"/>
    </xf>
    <xf numFmtId="0" fontId="9" fillId="8" borderId="36" xfId="0" applyFont="1" applyFill="1" applyBorder="1" applyAlignment="1">
      <alignment horizontal="left"/>
    </xf>
    <xf numFmtId="0" fontId="8" fillId="8" borderId="34" xfId="0" applyFont="1" applyFill="1" applyBorder="1" applyAlignment="1">
      <alignment horizontal="left"/>
    </xf>
    <xf numFmtId="0" fontId="10" fillId="7" borderId="33" xfId="0" applyFont="1" applyFill="1" applyBorder="1" applyAlignment="1">
      <alignment horizontal="right"/>
    </xf>
    <xf numFmtId="0" fontId="10" fillId="7" borderId="35" xfId="0" applyFont="1" applyFill="1" applyBorder="1" applyAlignment="1">
      <alignment horizontal="right"/>
    </xf>
    <xf numFmtId="168" fontId="0" fillId="9" borderId="0" xfId="0" applyNumberFormat="1" applyFill="1" applyBorder="1" applyAlignment="1"/>
    <xf numFmtId="0" fontId="11" fillId="0" borderId="0" xfId="0" applyFont="1" applyFill="1" applyBorder="1" applyAlignment="1">
      <alignment vertical="top" wrapText="1"/>
    </xf>
  </cellXfs>
  <cellStyles count="1">
    <cellStyle name="Normal" xfId="0" builtinId="0"/>
  </cellStyles>
  <dxfs count="26">
    <dxf>
      <numFmt numFmtId="169" formatCode="0.000"/>
    </dxf>
    <dxf>
      <numFmt numFmtId="169" formatCode="0.000"/>
    </dxf>
    <dxf>
      <numFmt numFmtId="169" formatCode="0.000"/>
    </dxf>
    <dxf>
      <numFmt numFmtId="167" formatCode="yyyy\-mm\-dd"/>
    </dxf>
    <dxf>
      <numFmt numFmtId="4" formatCode="#,##0.00"/>
    </dxf>
    <dxf>
      <numFmt numFmtId="169" formatCode="0.000"/>
    </dxf>
    <dxf>
      <numFmt numFmtId="169" formatCode="0.000"/>
    </dxf>
    <dxf>
      <numFmt numFmtId="169" formatCode="0.000"/>
    </dxf>
    <dxf>
      <numFmt numFmtId="167" formatCode="yyyy\-mm\-dd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WTISPLC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Forecast!$B$2:$B$1258</c:f>
              <c:numCache>
                <c:formatCode>0.000</c:formatCode>
                <c:ptCount val="1257"/>
                <c:pt idx="0">
                  <c:v>1.17</c:v>
                </c:pt>
                <c:pt idx="1">
                  <c:v>1.17</c:v>
                </c:pt>
                <c:pt idx="2">
                  <c:v>1.17</c:v>
                </c:pt>
                <c:pt idx="3">
                  <c:v>1.27</c:v>
                </c:pt>
                <c:pt idx="4">
                  <c:v>1.27</c:v>
                </c:pt>
                <c:pt idx="5">
                  <c:v>1.27</c:v>
                </c:pt>
                <c:pt idx="6">
                  <c:v>1.27</c:v>
                </c:pt>
                <c:pt idx="7">
                  <c:v>1.52</c:v>
                </c:pt>
                <c:pt idx="8">
                  <c:v>1.52</c:v>
                </c:pt>
                <c:pt idx="9">
                  <c:v>1.52</c:v>
                </c:pt>
                <c:pt idx="10">
                  <c:v>1.52</c:v>
                </c:pt>
                <c:pt idx="11">
                  <c:v>1.62</c:v>
                </c:pt>
                <c:pt idx="12">
                  <c:v>1.62</c:v>
                </c:pt>
                <c:pt idx="13">
                  <c:v>1.62</c:v>
                </c:pt>
                <c:pt idx="14">
                  <c:v>1.62</c:v>
                </c:pt>
                <c:pt idx="15">
                  <c:v>1.87</c:v>
                </c:pt>
                <c:pt idx="16">
                  <c:v>1.87</c:v>
                </c:pt>
                <c:pt idx="17">
                  <c:v>1.87</c:v>
                </c:pt>
                <c:pt idx="18">
                  <c:v>1.87</c:v>
                </c:pt>
                <c:pt idx="19">
                  <c:v>1.87</c:v>
                </c:pt>
                <c:pt idx="20">
                  <c:v>1.87</c:v>
                </c:pt>
                <c:pt idx="21">
                  <c:v>1.87</c:v>
                </c:pt>
                <c:pt idx="22">
                  <c:v>2.0699999999999998</c:v>
                </c:pt>
                <c:pt idx="23">
                  <c:v>2.0699999999999998</c:v>
                </c:pt>
                <c:pt idx="24">
                  <c:v>2.57</c:v>
                </c:pt>
                <c:pt idx="25">
                  <c:v>2.57</c:v>
                </c:pt>
                <c:pt idx="26">
                  <c:v>2.57</c:v>
                </c:pt>
                <c:pt idx="27">
                  <c:v>2.57</c:v>
                </c:pt>
                <c:pt idx="28">
                  <c:v>2.57</c:v>
                </c:pt>
                <c:pt idx="29">
                  <c:v>2.57</c:v>
                </c:pt>
                <c:pt idx="30">
                  <c:v>2.57</c:v>
                </c:pt>
                <c:pt idx="31">
                  <c:v>2.57</c:v>
                </c:pt>
                <c:pt idx="32">
                  <c:v>2.57</c:v>
                </c:pt>
                <c:pt idx="33">
                  <c:v>2.57</c:v>
                </c:pt>
                <c:pt idx="34">
                  <c:v>2.57</c:v>
                </c:pt>
                <c:pt idx="35">
                  <c:v>2.57</c:v>
                </c:pt>
                <c:pt idx="36">
                  <c:v>2.57</c:v>
                </c:pt>
                <c:pt idx="37">
                  <c:v>2.57</c:v>
                </c:pt>
                <c:pt idx="38">
                  <c:v>2.57</c:v>
                </c:pt>
                <c:pt idx="39">
                  <c:v>2.57</c:v>
                </c:pt>
                <c:pt idx="40">
                  <c:v>2.57</c:v>
                </c:pt>
                <c:pt idx="41">
                  <c:v>2.57</c:v>
                </c:pt>
                <c:pt idx="42">
                  <c:v>2.57</c:v>
                </c:pt>
                <c:pt idx="43">
                  <c:v>2.57</c:v>
                </c:pt>
                <c:pt idx="44">
                  <c:v>2.57</c:v>
                </c:pt>
                <c:pt idx="45">
                  <c:v>2.57</c:v>
                </c:pt>
                <c:pt idx="46">
                  <c:v>2.57</c:v>
                </c:pt>
                <c:pt idx="47">
                  <c:v>2.57</c:v>
                </c:pt>
                <c:pt idx="48">
                  <c:v>2.57</c:v>
                </c:pt>
                <c:pt idx="49">
                  <c:v>2.57</c:v>
                </c:pt>
                <c:pt idx="50">
                  <c:v>2.57</c:v>
                </c:pt>
                <c:pt idx="51">
                  <c:v>2.57</c:v>
                </c:pt>
                <c:pt idx="52">
                  <c:v>2.57</c:v>
                </c:pt>
                <c:pt idx="53">
                  <c:v>2.57</c:v>
                </c:pt>
                <c:pt idx="54">
                  <c:v>2.57</c:v>
                </c:pt>
                <c:pt idx="55">
                  <c:v>2.57</c:v>
                </c:pt>
                <c:pt idx="56">
                  <c:v>2.57</c:v>
                </c:pt>
                <c:pt idx="57">
                  <c:v>2.57</c:v>
                </c:pt>
                <c:pt idx="58">
                  <c:v>2.57</c:v>
                </c:pt>
                <c:pt idx="59">
                  <c:v>2.57</c:v>
                </c:pt>
                <c:pt idx="60">
                  <c:v>2.57</c:v>
                </c:pt>
                <c:pt idx="61">
                  <c:v>2.57</c:v>
                </c:pt>
                <c:pt idx="62">
                  <c:v>2.57</c:v>
                </c:pt>
                <c:pt idx="63">
                  <c:v>2.57</c:v>
                </c:pt>
                <c:pt idx="64">
                  <c:v>2.57</c:v>
                </c:pt>
                <c:pt idx="65">
                  <c:v>2.57</c:v>
                </c:pt>
                <c:pt idx="66">
                  <c:v>2.57</c:v>
                </c:pt>
                <c:pt idx="67">
                  <c:v>2.57</c:v>
                </c:pt>
                <c:pt idx="68">
                  <c:v>2.57</c:v>
                </c:pt>
                <c:pt idx="69">
                  <c:v>2.57</c:v>
                </c:pt>
                <c:pt idx="70">
                  <c:v>2.57</c:v>
                </c:pt>
                <c:pt idx="71">
                  <c:v>2.57</c:v>
                </c:pt>
                <c:pt idx="72">
                  <c:v>2.57</c:v>
                </c:pt>
                <c:pt idx="73">
                  <c:v>2.57</c:v>
                </c:pt>
                <c:pt idx="74">
                  <c:v>2.57</c:v>
                </c:pt>
                <c:pt idx="75">
                  <c:v>2.57</c:v>
                </c:pt>
                <c:pt idx="76">
                  <c:v>2.57</c:v>
                </c:pt>
                <c:pt idx="77">
                  <c:v>2.57</c:v>
                </c:pt>
                <c:pt idx="78">
                  <c:v>2.57</c:v>
                </c:pt>
                <c:pt idx="79">
                  <c:v>2.57</c:v>
                </c:pt>
                <c:pt idx="80">
                  <c:v>2.57</c:v>
                </c:pt>
                <c:pt idx="81">
                  <c:v>2.57</c:v>
                </c:pt>
                <c:pt idx="82">
                  <c:v>2.57</c:v>
                </c:pt>
                <c:pt idx="83">
                  <c:v>2.57</c:v>
                </c:pt>
                <c:pt idx="84">
                  <c:v>2.57</c:v>
                </c:pt>
                <c:pt idx="85">
                  <c:v>2.57</c:v>
                </c:pt>
                <c:pt idx="86">
                  <c:v>2.57</c:v>
                </c:pt>
                <c:pt idx="87">
                  <c:v>2.57</c:v>
                </c:pt>
                <c:pt idx="88">
                  <c:v>2.57</c:v>
                </c:pt>
                <c:pt idx="89">
                  <c:v>2.82</c:v>
                </c:pt>
                <c:pt idx="90">
                  <c:v>2.82</c:v>
                </c:pt>
                <c:pt idx="91">
                  <c:v>2.82</c:v>
                </c:pt>
                <c:pt idx="92">
                  <c:v>2.82</c:v>
                </c:pt>
                <c:pt idx="93">
                  <c:v>2.82</c:v>
                </c:pt>
                <c:pt idx="94">
                  <c:v>2.82</c:v>
                </c:pt>
                <c:pt idx="95">
                  <c:v>2.82</c:v>
                </c:pt>
                <c:pt idx="96">
                  <c:v>2.82</c:v>
                </c:pt>
                <c:pt idx="97">
                  <c:v>2.82</c:v>
                </c:pt>
                <c:pt idx="98">
                  <c:v>2.82</c:v>
                </c:pt>
                <c:pt idx="99">
                  <c:v>2.82</c:v>
                </c:pt>
                <c:pt idx="100">
                  <c:v>2.82</c:v>
                </c:pt>
                <c:pt idx="101">
                  <c:v>2.82</c:v>
                </c:pt>
                <c:pt idx="102">
                  <c:v>2.82</c:v>
                </c:pt>
                <c:pt idx="103">
                  <c:v>2.82</c:v>
                </c:pt>
                <c:pt idx="104">
                  <c:v>2.82</c:v>
                </c:pt>
                <c:pt idx="105">
                  <c:v>2.82</c:v>
                </c:pt>
                <c:pt idx="106">
                  <c:v>2.82</c:v>
                </c:pt>
                <c:pt idx="107">
                  <c:v>2.82</c:v>
                </c:pt>
                <c:pt idx="108">
                  <c:v>2.82</c:v>
                </c:pt>
                <c:pt idx="109">
                  <c:v>2.82</c:v>
                </c:pt>
                <c:pt idx="110">
                  <c:v>2.82</c:v>
                </c:pt>
                <c:pt idx="111">
                  <c:v>2.82</c:v>
                </c:pt>
                <c:pt idx="112">
                  <c:v>2.82</c:v>
                </c:pt>
                <c:pt idx="113">
                  <c:v>2.82</c:v>
                </c:pt>
                <c:pt idx="114">
                  <c:v>2.82</c:v>
                </c:pt>
                <c:pt idx="115">
                  <c:v>2.82</c:v>
                </c:pt>
                <c:pt idx="116">
                  <c:v>2.82</c:v>
                </c:pt>
                <c:pt idx="117">
                  <c:v>2.82</c:v>
                </c:pt>
                <c:pt idx="118">
                  <c:v>2.82</c:v>
                </c:pt>
                <c:pt idx="119">
                  <c:v>2.82</c:v>
                </c:pt>
                <c:pt idx="120">
                  <c:v>2.82</c:v>
                </c:pt>
                <c:pt idx="121">
                  <c:v>2.82</c:v>
                </c:pt>
                <c:pt idx="122">
                  <c:v>2.82</c:v>
                </c:pt>
                <c:pt idx="123">
                  <c:v>2.82</c:v>
                </c:pt>
                <c:pt idx="124">
                  <c:v>2.82</c:v>
                </c:pt>
                <c:pt idx="125">
                  <c:v>2.82</c:v>
                </c:pt>
                <c:pt idx="126">
                  <c:v>2.82</c:v>
                </c:pt>
                <c:pt idx="127">
                  <c:v>2.82</c:v>
                </c:pt>
                <c:pt idx="128">
                  <c:v>2.82</c:v>
                </c:pt>
                <c:pt idx="129">
                  <c:v>2.82</c:v>
                </c:pt>
                <c:pt idx="130">
                  <c:v>2.82</c:v>
                </c:pt>
                <c:pt idx="131">
                  <c:v>2.82</c:v>
                </c:pt>
                <c:pt idx="132">
                  <c:v>2.82</c:v>
                </c:pt>
                <c:pt idx="133">
                  <c:v>3.07</c:v>
                </c:pt>
                <c:pt idx="134">
                  <c:v>3.07</c:v>
                </c:pt>
                <c:pt idx="135">
                  <c:v>3.07</c:v>
                </c:pt>
                <c:pt idx="136">
                  <c:v>3.07</c:v>
                </c:pt>
                <c:pt idx="137">
                  <c:v>3.07</c:v>
                </c:pt>
                <c:pt idx="138">
                  <c:v>3.07</c:v>
                </c:pt>
                <c:pt idx="139">
                  <c:v>3.07</c:v>
                </c:pt>
                <c:pt idx="140">
                  <c:v>3.07</c:v>
                </c:pt>
                <c:pt idx="141">
                  <c:v>3.07</c:v>
                </c:pt>
                <c:pt idx="142">
                  <c:v>3.07</c:v>
                </c:pt>
                <c:pt idx="143">
                  <c:v>3</c:v>
                </c:pt>
                <c:pt idx="144">
                  <c:v>3.07</c:v>
                </c:pt>
                <c:pt idx="145">
                  <c:v>3.07</c:v>
                </c:pt>
                <c:pt idx="146">
                  <c:v>3.07</c:v>
                </c:pt>
                <c:pt idx="147">
                  <c:v>3.07</c:v>
                </c:pt>
                <c:pt idx="148">
                  <c:v>3.07</c:v>
                </c:pt>
                <c:pt idx="149">
                  <c:v>3.07</c:v>
                </c:pt>
                <c:pt idx="150">
                  <c:v>3.07</c:v>
                </c:pt>
                <c:pt idx="151">
                  <c:v>3.07</c:v>
                </c:pt>
                <c:pt idx="152">
                  <c:v>3.07</c:v>
                </c:pt>
                <c:pt idx="153">
                  <c:v>3.07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2.97</c:v>
                </c:pt>
                <c:pt idx="159">
                  <c:v>2.97</c:v>
                </c:pt>
                <c:pt idx="160">
                  <c:v>2.97</c:v>
                </c:pt>
                <c:pt idx="161">
                  <c:v>2.97</c:v>
                </c:pt>
                <c:pt idx="162">
                  <c:v>2.97</c:v>
                </c:pt>
                <c:pt idx="163">
                  <c:v>2.97</c:v>
                </c:pt>
                <c:pt idx="164">
                  <c:v>2.97</c:v>
                </c:pt>
                <c:pt idx="165">
                  <c:v>2.97</c:v>
                </c:pt>
                <c:pt idx="166">
                  <c:v>2.97</c:v>
                </c:pt>
                <c:pt idx="167">
                  <c:v>2.97</c:v>
                </c:pt>
                <c:pt idx="168">
                  <c:v>2.97</c:v>
                </c:pt>
                <c:pt idx="169">
                  <c:v>2.97</c:v>
                </c:pt>
                <c:pt idx="170">
                  <c:v>2.97</c:v>
                </c:pt>
                <c:pt idx="171">
                  <c:v>2.97</c:v>
                </c:pt>
                <c:pt idx="172">
                  <c:v>2.97</c:v>
                </c:pt>
                <c:pt idx="173">
                  <c:v>2.97</c:v>
                </c:pt>
                <c:pt idx="174">
                  <c:v>2.97</c:v>
                </c:pt>
                <c:pt idx="175">
                  <c:v>2.97</c:v>
                </c:pt>
                <c:pt idx="176">
                  <c:v>2.97</c:v>
                </c:pt>
                <c:pt idx="177">
                  <c:v>2.97</c:v>
                </c:pt>
                <c:pt idx="178">
                  <c:v>2.97</c:v>
                </c:pt>
                <c:pt idx="179">
                  <c:v>2.97</c:v>
                </c:pt>
                <c:pt idx="180">
                  <c:v>2.97</c:v>
                </c:pt>
                <c:pt idx="181">
                  <c:v>2.97</c:v>
                </c:pt>
                <c:pt idx="182">
                  <c:v>2.97</c:v>
                </c:pt>
                <c:pt idx="183">
                  <c:v>2.97</c:v>
                </c:pt>
                <c:pt idx="184">
                  <c:v>2.97</c:v>
                </c:pt>
                <c:pt idx="185">
                  <c:v>2.97</c:v>
                </c:pt>
                <c:pt idx="186">
                  <c:v>2.97</c:v>
                </c:pt>
                <c:pt idx="187">
                  <c:v>2.97</c:v>
                </c:pt>
                <c:pt idx="188">
                  <c:v>2.97</c:v>
                </c:pt>
                <c:pt idx="189">
                  <c:v>2.97</c:v>
                </c:pt>
                <c:pt idx="190">
                  <c:v>2.97</c:v>
                </c:pt>
                <c:pt idx="191">
                  <c:v>2.97</c:v>
                </c:pt>
                <c:pt idx="192">
                  <c:v>2.97</c:v>
                </c:pt>
                <c:pt idx="193">
                  <c:v>2.97</c:v>
                </c:pt>
                <c:pt idx="194">
                  <c:v>2.97</c:v>
                </c:pt>
                <c:pt idx="195">
                  <c:v>2.97</c:v>
                </c:pt>
                <c:pt idx="196">
                  <c:v>2.97</c:v>
                </c:pt>
                <c:pt idx="197">
                  <c:v>2.97</c:v>
                </c:pt>
                <c:pt idx="198">
                  <c:v>2.97</c:v>
                </c:pt>
                <c:pt idx="199">
                  <c:v>2.97</c:v>
                </c:pt>
                <c:pt idx="200">
                  <c:v>2.97</c:v>
                </c:pt>
                <c:pt idx="201">
                  <c:v>2.97</c:v>
                </c:pt>
                <c:pt idx="202">
                  <c:v>2.97</c:v>
                </c:pt>
                <c:pt idx="203">
                  <c:v>2.97</c:v>
                </c:pt>
                <c:pt idx="204">
                  <c:v>2.97</c:v>
                </c:pt>
                <c:pt idx="205">
                  <c:v>2.97</c:v>
                </c:pt>
                <c:pt idx="206">
                  <c:v>2.97</c:v>
                </c:pt>
                <c:pt idx="207">
                  <c:v>2.97</c:v>
                </c:pt>
                <c:pt idx="208">
                  <c:v>2.97</c:v>
                </c:pt>
                <c:pt idx="209">
                  <c:v>2.97</c:v>
                </c:pt>
                <c:pt idx="210">
                  <c:v>2.97</c:v>
                </c:pt>
                <c:pt idx="211">
                  <c:v>2.97</c:v>
                </c:pt>
                <c:pt idx="212">
                  <c:v>2.97</c:v>
                </c:pt>
                <c:pt idx="213">
                  <c:v>2.97</c:v>
                </c:pt>
                <c:pt idx="214">
                  <c:v>2.97</c:v>
                </c:pt>
                <c:pt idx="215">
                  <c:v>2.97</c:v>
                </c:pt>
                <c:pt idx="216">
                  <c:v>2.97</c:v>
                </c:pt>
                <c:pt idx="217">
                  <c:v>2.97</c:v>
                </c:pt>
                <c:pt idx="218">
                  <c:v>2.97</c:v>
                </c:pt>
                <c:pt idx="219">
                  <c:v>2.97</c:v>
                </c:pt>
                <c:pt idx="220">
                  <c:v>2.97</c:v>
                </c:pt>
                <c:pt idx="221">
                  <c:v>2.97</c:v>
                </c:pt>
                <c:pt idx="222">
                  <c:v>2.92</c:v>
                </c:pt>
                <c:pt idx="223">
                  <c:v>2.92</c:v>
                </c:pt>
                <c:pt idx="224">
                  <c:v>2.92</c:v>
                </c:pt>
                <c:pt idx="225">
                  <c:v>2.92</c:v>
                </c:pt>
                <c:pt idx="226">
                  <c:v>2.92</c:v>
                </c:pt>
                <c:pt idx="227">
                  <c:v>2.92</c:v>
                </c:pt>
                <c:pt idx="228">
                  <c:v>2.92</c:v>
                </c:pt>
                <c:pt idx="229">
                  <c:v>2.92</c:v>
                </c:pt>
                <c:pt idx="230">
                  <c:v>2.92</c:v>
                </c:pt>
                <c:pt idx="231">
                  <c:v>2.92</c:v>
                </c:pt>
                <c:pt idx="232">
                  <c:v>2.92</c:v>
                </c:pt>
                <c:pt idx="233">
                  <c:v>2.92</c:v>
                </c:pt>
                <c:pt idx="234">
                  <c:v>2.92</c:v>
                </c:pt>
                <c:pt idx="235">
                  <c:v>2.92</c:v>
                </c:pt>
                <c:pt idx="236">
                  <c:v>2.92</c:v>
                </c:pt>
                <c:pt idx="237">
                  <c:v>2.92</c:v>
                </c:pt>
                <c:pt idx="238">
                  <c:v>2.92</c:v>
                </c:pt>
                <c:pt idx="239">
                  <c:v>2.92</c:v>
                </c:pt>
                <c:pt idx="240">
                  <c:v>2.92</c:v>
                </c:pt>
                <c:pt idx="241">
                  <c:v>2.92</c:v>
                </c:pt>
                <c:pt idx="242">
                  <c:v>2.92</c:v>
                </c:pt>
                <c:pt idx="243">
                  <c:v>2.92</c:v>
                </c:pt>
                <c:pt idx="244">
                  <c:v>2.92</c:v>
                </c:pt>
                <c:pt idx="245">
                  <c:v>2.92</c:v>
                </c:pt>
                <c:pt idx="246">
                  <c:v>2.92</c:v>
                </c:pt>
                <c:pt idx="247">
                  <c:v>2.92</c:v>
                </c:pt>
                <c:pt idx="248">
                  <c:v>2.97</c:v>
                </c:pt>
                <c:pt idx="249">
                  <c:v>2.97</c:v>
                </c:pt>
                <c:pt idx="250">
                  <c:v>2.97</c:v>
                </c:pt>
                <c:pt idx="251">
                  <c:v>2.97</c:v>
                </c:pt>
                <c:pt idx="252">
                  <c:v>2.97</c:v>
                </c:pt>
                <c:pt idx="253">
                  <c:v>3</c:v>
                </c:pt>
                <c:pt idx="254">
                  <c:v>3</c:v>
                </c:pt>
                <c:pt idx="255">
                  <c:v>3</c:v>
                </c:pt>
                <c:pt idx="256">
                  <c:v>3</c:v>
                </c:pt>
                <c:pt idx="257">
                  <c:v>3</c:v>
                </c:pt>
                <c:pt idx="258">
                  <c:v>3</c:v>
                </c:pt>
                <c:pt idx="259">
                  <c:v>3.07</c:v>
                </c:pt>
                <c:pt idx="260">
                  <c:v>3.07</c:v>
                </c:pt>
                <c:pt idx="261">
                  <c:v>3.07</c:v>
                </c:pt>
                <c:pt idx="262">
                  <c:v>3.07</c:v>
                </c:pt>
                <c:pt idx="263">
                  <c:v>3.07</c:v>
                </c:pt>
                <c:pt idx="264">
                  <c:v>3.07</c:v>
                </c:pt>
                <c:pt idx="265">
                  <c:v>3.07</c:v>
                </c:pt>
                <c:pt idx="266">
                  <c:v>3.07</c:v>
                </c:pt>
                <c:pt idx="267">
                  <c:v>3.07</c:v>
                </c:pt>
                <c:pt idx="268">
                  <c:v>3.07</c:v>
                </c:pt>
                <c:pt idx="269">
                  <c:v>3.07</c:v>
                </c:pt>
                <c:pt idx="270">
                  <c:v>3.07</c:v>
                </c:pt>
                <c:pt idx="271">
                  <c:v>3.07</c:v>
                </c:pt>
                <c:pt idx="272">
                  <c:v>3.07</c:v>
                </c:pt>
                <c:pt idx="273">
                  <c:v>3.07</c:v>
                </c:pt>
                <c:pt idx="274">
                  <c:v>3.07</c:v>
                </c:pt>
                <c:pt idx="275">
                  <c:v>3.07</c:v>
                </c:pt>
                <c:pt idx="276">
                  <c:v>3.07</c:v>
                </c:pt>
                <c:pt idx="277">
                  <c:v>3.07</c:v>
                </c:pt>
                <c:pt idx="278">
                  <c:v>3.25</c:v>
                </c:pt>
                <c:pt idx="279">
                  <c:v>3.35</c:v>
                </c:pt>
                <c:pt idx="280">
                  <c:v>3.35</c:v>
                </c:pt>
                <c:pt idx="281">
                  <c:v>3.35</c:v>
                </c:pt>
                <c:pt idx="282">
                  <c:v>3.35</c:v>
                </c:pt>
                <c:pt idx="283">
                  <c:v>3.35</c:v>
                </c:pt>
                <c:pt idx="284">
                  <c:v>3.35</c:v>
                </c:pt>
                <c:pt idx="285">
                  <c:v>3.35</c:v>
                </c:pt>
                <c:pt idx="286">
                  <c:v>3.35</c:v>
                </c:pt>
                <c:pt idx="287">
                  <c:v>3.35</c:v>
                </c:pt>
                <c:pt idx="288">
                  <c:v>3.35</c:v>
                </c:pt>
                <c:pt idx="289">
                  <c:v>3.35</c:v>
                </c:pt>
                <c:pt idx="290">
                  <c:v>3.35</c:v>
                </c:pt>
                <c:pt idx="291">
                  <c:v>3.35</c:v>
                </c:pt>
                <c:pt idx="292">
                  <c:v>3.35</c:v>
                </c:pt>
                <c:pt idx="293">
                  <c:v>3.35</c:v>
                </c:pt>
                <c:pt idx="294">
                  <c:v>3.31</c:v>
                </c:pt>
                <c:pt idx="295">
                  <c:v>3.31</c:v>
                </c:pt>
                <c:pt idx="296">
                  <c:v>3.31</c:v>
                </c:pt>
                <c:pt idx="297">
                  <c:v>3.31</c:v>
                </c:pt>
                <c:pt idx="298">
                  <c:v>3.31</c:v>
                </c:pt>
                <c:pt idx="299">
                  <c:v>3.56</c:v>
                </c:pt>
                <c:pt idx="300">
                  <c:v>3.56</c:v>
                </c:pt>
                <c:pt idx="301">
                  <c:v>3.56</c:v>
                </c:pt>
                <c:pt idx="302">
                  <c:v>3.56</c:v>
                </c:pt>
                <c:pt idx="303">
                  <c:v>3.56</c:v>
                </c:pt>
                <c:pt idx="304">
                  <c:v>3.56</c:v>
                </c:pt>
                <c:pt idx="305">
                  <c:v>3.56</c:v>
                </c:pt>
                <c:pt idx="306">
                  <c:v>3.56</c:v>
                </c:pt>
                <c:pt idx="307">
                  <c:v>3.56</c:v>
                </c:pt>
                <c:pt idx="308">
                  <c:v>3.56</c:v>
                </c:pt>
                <c:pt idx="309">
                  <c:v>3.56</c:v>
                </c:pt>
                <c:pt idx="310">
                  <c:v>3.56</c:v>
                </c:pt>
                <c:pt idx="311">
                  <c:v>3.56</c:v>
                </c:pt>
                <c:pt idx="312">
                  <c:v>3.56</c:v>
                </c:pt>
                <c:pt idx="313">
                  <c:v>3.56</c:v>
                </c:pt>
                <c:pt idx="314">
                  <c:v>3.56</c:v>
                </c:pt>
                <c:pt idx="315">
                  <c:v>3.56</c:v>
                </c:pt>
                <c:pt idx="316">
                  <c:v>3.56</c:v>
                </c:pt>
                <c:pt idx="317">
                  <c:v>3.56</c:v>
                </c:pt>
                <c:pt idx="318">
                  <c:v>3.56</c:v>
                </c:pt>
                <c:pt idx="319">
                  <c:v>3.56</c:v>
                </c:pt>
                <c:pt idx="320">
                  <c:v>3.56</c:v>
                </c:pt>
                <c:pt idx="321">
                  <c:v>3.56</c:v>
                </c:pt>
                <c:pt idx="322">
                  <c:v>3.56</c:v>
                </c:pt>
                <c:pt idx="323">
                  <c:v>3.56</c:v>
                </c:pt>
                <c:pt idx="324">
                  <c:v>3.56</c:v>
                </c:pt>
                <c:pt idx="325">
                  <c:v>3.56</c:v>
                </c:pt>
                <c:pt idx="326">
                  <c:v>3.56</c:v>
                </c:pt>
                <c:pt idx="327">
                  <c:v>3.56</c:v>
                </c:pt>
                <c:pt idx="328">
                  <c:v>3.56</c:v>
                </c:pt>
                <c:pt idx="329">
                  <c:v>3.56</c:v>
                </c:pt>
                <c:pt idx="330">
                  <c:v>3.56</c:v>
                </c:pt>
                <c:pt idx="331">
                  <c:v>4.3099999999999996</c:v>
                </c:pt>
                <c:pt idx="332">
                  <c:v>4.3099999999999996</c:v>
                </c:pt>
                <c:pt idx="333">
                  <c:v>4.3099999999999996</c:v>
                </c:pt>
                <c:pt idx="334">
                  <c:v>4.3099999999999996</c:v>
                </c:pt>
                <c:pt idx="335">
                  <c:v>4.3099999999999996</c:v>
                </c:pt>
                <c:pt idx="336">
                  <c:v>10.11</c:v>
                </c:pt>
                <c:pt idx="337">
                  <c:v>10.11</c:v>
                </c:pt>
                <c:pt idx="338">
                  <c:v>10.11</c:v>
                </c:pt>
                <c:pt idx="339">
                  <c:v>10.11</c:v>
                </c:pt>
                <c:pt idx="340">
                  <c:v>10.11</c:v>
                </c:pt>
                <c:pt idx="341">
                  <c:v>10.11</c:v>
                </c:pt>
                <c:pt idx="342">
                  <c:v>10.11</c:v>
                </c:pt>
                <c:pt idx="343">
                  <c:v>10.11</c:v>
                </c:pt>
                <c:pt idx="344">
                  <c:v>10.11</c:v>
                </c:pt>
                <c:pt idx="345">
                  <c:v>11.16</c:v>
                </c:pt>
                <c:pt idx="346">
                  <c:v>11.16</c:v>
                </c:pt>
                <c:pt idx="347">
                  <c:v>11.16</c:v>
                </c:pt>
                <c:pt idx="348">
                  <c:v>11.16</c:v>
                </c:pt>
                <c:pt idx="349">
                  <c:v>11.16</c:v>
                </c:pt>
                <c:pt idx="350">
                  <c:v>11.16</c:v>
                </c:pt>
                <c:pt idx="351">
                  <c:v>11.16</c:v>
                </c:pt>
                <c:pt idx="352">
                  <c:v>11.16</c:v>
                </c:pt>
                <c:pt idx="353">
                  <c:v>11.16</c:v>
                </c:pt>
                <c:pt idx="354">
                  <c:v>11.16</c:v>
                </c:pt>
                <c:pt idx="355">
                  <c:v>11.16</c:v>
                </c:pt>
                <c:pt idx="356">
                  <c:v>11.16</c:v>
                </c:pt>
                <c:pt idx="357">
                  <c:v>11.16</c:v>
                </c:pt>
                <c:pt idx="358">
                  <c:v>11.16</c:v>
                </c:pt>
                <c:pt idx="359">
                  <c:v>11.16</c:v>
                </c:pt>
                <c:pt idx="360">
                  <c:v>11.16</c:v>
                </c:pt>
                <c:pt idx="361">
                  <c:v>12.03</c:v>
                </c:pt>
                <c:pt idx="362">
                  <c:v>12.1</c:v>
                </c:pt>
                <c:pt idx="363">
                  <c:v>12.17</c:v>
                </c:pt>
                <c:pt idx="364">
                  <c:v>12.17</c:v>
                </c:pt>
                <c:pt idx="365">
                  <c:v>12.17</c:v>
                </c:pt>
                <c:pt idx="366">
                  <c:v>12.17</c:v>
                </c:pt>
                <c:pt idx="367">
                  <c:v>12.17</c:v>
                </c:pt>
                <c:pt idx="368">
                  <c:v>13.9</c:v>
                </c:pt>
                <c:pt idx="369">
                  <c:v>13.9</c:v>
                </c:pt>
                <c:pt idx="370">
                  <c:v>13.9</c:v>
                </c:pt>
                <c:pt idx="371">
                  <c:v>13.9</c:v>
                </c:pt>
                <c:pt idx="372">
                  <c:v>13.9</c:v>
                </c:pt>
                <c:pt idx="373">
                  <c:v>13.9</c:v>
                </c:pt>
                <c:pt idx="374">
                  <c:v>13.9</c:v>
                </c:pt>
                <c:pt idx="375">
                  <c:v>13.9</c:v>
                </c:pt>
                <c:pt idx="376">
                  <c:v>13.9</c:v>
                </c:pt>
                <c:pt idx="377">
                  <c:v>13.9</c:v>
                </c:pt>
                <c:pt idx="378">
                  <c:v>13.9</c:v>
                </c:pt>
                <c:pt idx="379">
                  <c:v>14.85</c:v>
                </c:pt>
                <c:pt idx="380">
                  <c:v>14.85</c:v>
                </c:pt>
                <c:pt idx="381">
                  <c:v>14.85</c:v>
                </c:pt>
                <c:pt idx="382">
                  <c:v>14.85</c:v>
                </c:pt>
                <c:pt idx="383">
                  <c:v>14.85</c:v>
                </c:pt>
                <c:pt idx="384">
                  <c:v>14.85</c:v>
                </c:pt>
                <c:pt idx="385">
                  <c:v>14.85</c:v>
                </c:pt>
                <c:pt idx="386">
                  <c:v>14.85</c:v>
                </c:pt>
                <c:pt idx="387">
                  <c:v>14.85</c:v>
                </c:pt>
                <c:pt idx="388">
                  <c:v>14.85</c:v>
                </c:pt>
                <c:pt idx="389">
                  <c:v>14.85</c:v>
                </c:pt>
                <c:pt idx="390">
                  <c:v>14.85</c:v>
                </c:pt>
                <c:pt idx="391">
                  <c:v>14.85</c:v>
                </c:pt>
                <c:pt idx="392">
                  <c:v>14.85</c:v>
                </c:pt>
                <c:pt idx="393">
                  <c:v>14.85</c:v>
                </c:pt>
                <c:pt idx="394">
                  <c:v>14.85</c:v>
                </c:pt>
                <c:pt idx="395">
                  <c:v>14.85</c:v>
                </c:pt>
                <c:pt idx="396">
                  <c:v>14.85</c:v>
                </c:pt>
                <c:pt idx="397">
                  <c:v>15.85</c:v>
                </c:pt>
                <c:pt idx="398">
                  <c:v>15.85</c:v>
                </c:pt>
                <c:pt idx="399">
                  <c:v>15.85</c:v>
                </c:pt>
                <c:pt idx="400">
                  <c:v>18.100000000000001</c:v>
                </c:pt>
                <c:pt idx="401">
                  <c:v>19.100000000000001</c:v>
                </c:pt>
                <c:pt idx="402">
                  <c:v>21.75</c:v>
                </c:pt>
                <c:pt idx="403">
                  <c:v>26.5</c:v>
                </c:pt>
                <c:pt idx="404">
                  <c:v>28.5</c:v>
                </c:pt>
                <c:pt idx="405">
                  <c:v>29</c:v>
                </c:pt>
                <c:pt idx="406">
                  <c:v>31</c:v>
                </c:pt>
                <c:pt idx="407">
                  <c:v>32.5</c:v>
                </c:pt>
                <c:pt idx="408">
                  <c:v>32.5</c:v>
                </c:pt>
                <c:pt idx="409">
                  <c:v>37</c:v>
                </c:pt>
                <c:pt idx="410">
                  <c:v>38</c:v>
                </c:pt>
                <c:pt idx="411">
                  <c:v>39.5</c:v>
                </c:pt>
                <c:pt idx="412">
                  <c:v>39.5</c:v>
                </c:pt>
                <c:pt idx="413">
                  <c:v>39.5</c:v>
                </c:pt>
                <c:pt idx="414">
                  <c:v>39.5</c:v>
                </c:pt>
                <c:pt idx="415">
                  <c:v>38</c:v>
                </c:pt>
                <c:pt idx="416">
                  <c:v>36</c:v>
                </c:pt>
                <c:pt idx="417">
                  <c:v>36</c:v>
                </c:pt>
                <c:pt idx="418">
                  <c:v>36</c:v>
                </c:pt>
                <c:pt idx="419">
                  <c:v>37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36</c:v>
                </c:pt>
                <c:pt idx="426">
                  <c:v>36</c:v>
                </c:pt>
                <c:pt idx="427">
                  <c:v>36</c:v>
                </c:pt>
                <c:pt idx="428">
                  <c:v>36</c:v>
                </c:pt>
                <c:pt idx="429">
                  <c:v>35</c:v>
                </c:pt>
                <c:pt idx="430">
                  <c:v>36</c:v>
                </c:pt>
                <c:pt idx="431">
                  <c:v>35</c:v>
                </c:pt>
                <c:pt idx="432">
                  <c:v>33.85</c:v>
                </c:pt>
                <c:pt idx="433">
                  <c:v>31.56</c:v>
                </c:pt>
                <c:pt idx="434">
                  <c:v>28.48</c:v>
                </c:pt>
                <c:pt idx="435">
                  <c:v>33.450000000000003</c:v>
                </c:pt>
                <c:pt idx="436">
                  <c:v>35.93</c:v>
                </c:pt>
                <c:pt idx="437">
                  <c:v>35.07</c:v>
                </c:pt>
                <c:pt idx="438">
                  <c:v>34.159999999999997</c:v>
                </c:pt>
                <c:pt idx="439">
                  <c:v>33.950000000000003</c:v>
                </c:pt>
                <c:pt idx="440">
                  <c:v>35.630000000000003</c:v>
                </c:pt>
                <c:pt idx="441">
                  <c:v>35.68</c:v>
                </c:pt>
                <c:pt idx="442">
                  <c:v>34.15</c:v>
                </c:pt>
                <c:pt idx="443">
                  <c:v>31.72</c:v>
                </c:pt>
                <c:pt idx="444">
                  <c:v>31.19</c:v>
                </c:pt>
                <c:pt idx="445">
                  <c:v>28.95</c:v>
                </c:pt>
                <c:pt idx="446">
                  <c:v>28.82</c:v>
                </c:pt>
                <c:pt idx="447">
                  <c:v>30.61</c:v>
                </c:pt>
                <c:pt idx="448">
                  <c:v>30</c:v>
                </c:pt>
                <c:pt idx="449">
                  <c:v>31</c:v>
                </c:pt>
                <c:pt idx="450">
                  <c:v>31.66</c:v>
                </c:pt>
                <c:pt idx="451">
                  <c:v>31.91</c:v>
                </c:pt>
                <c:pt idx="452">
                  <c:v>31.11</c:v>
                </c:pt>
                <c:pt idx="453">
                  <c:v>30.41</c:v>
                </c:pt>
                <c:pt idx="454">
                  <c:v>29.84</c:v>
                </c:pt>
                <c:pt idx="455">
                  <c:v>29.24</c:v>
                </c:pt>
                <c:pt idx="456">
                  <c:v>29.69</c:v>
                </c:pt>
                <c:pt idx="457">
                  <c:v>30.145</c:v>
                </c:pt>
                <c:pt idx="458">
                  <c:v>30.760999999999999</c:v>
                </c:pt>
                <c:pt idx="459">
                  <c:v>30.617999999999999</c:v>
                </c:pt>
                <c:pt idx="460">
                  <c:v>30.52</c:v>
                </c:pt>
                <c:pt idx="461">
                  <c:v>29.966999999999999</c:v>
                </c:pt>
                <c:pt idx="462">
                  <c:v>28.751999999999999</c:v>
                </c:pt>
                <c:pt idx="463">
                  <c:v>29.25</c:v>
                </c:pt>
                <c:pt idx="464">
                  <c:v>29.311</c:v>
                </c:pt>
                <c:pt idx="465">
                  <c:v>28.765000000000001</c:v>
                </c:pt>
                <c:pt idx="466">
                  <c:v>28.097999999999999</c:v>
                </c:pt>
                <c:pt idx="467">
                  <c:v>25.428999999999998</c:v>
                </c:pt>
                <c:pt idx="468">
                  <c:v>25.640999999999998</c:v>
                </c:pt>
                <c:pt idx="469">
                  <c:v>27.271000000000001</c:v>
                </c:pt>
                <c:pt idx="470">
                  <c:v>28.238</c:v>
                </c:pt>
                <c:pt idx="471">
                  <c:v>28.805</c:v>
                </c:pt>
                <c:pt idx="472">
                  <c:v>27.623000000000001</c:v>
                </c:pt>
                <c:pt idx="473">
                  <c:v>27.143000000000001</c:v>
                </c:pt>
                <c:pt idx="474">
                  <c:v>27.329000000000001</c:v>
                </c:pt>
                <c:pt idx="475">
                  <c:v>27.754999999999999</c:v>
                </c:pt>
                <c:pt idx="476">
                  <c:v>28.289000000000001</c:v>
                </c:pt>
                <c:pt idx="477">
                  <c:v>29.538</c:v>
                </c:pt>
                <c:pt idx="478">
                  <c:v>30.812999999999999</c:v>
                </c:pt>
                <c:pt idx="479">
                  <c:v>27.228000000000002</c:v>
                </c:pt>
                <c:pt idx="480">
                  <c:v>22.945</c:v>
                </c:pt>
                <c:pt idx="481">
                  <c:v>15.442</c:v>
                </c:pt>
                <c:pt idx="482">
                  <c:v>12.618</c:v>
                </c:pt>
                <c:pt idx="483">
                  <c:v>12.847</c:v>
                </c:pt>
                <c:pt idx="484">
                  <c:v>15.444000000000001</c:v>
                </c:pt>
                <c:pt idx="485">
                  <c:v>13.468999999999999</c:v>
                </c:pt>
                <c:pt idx="486">
                  <c:v>11.574999999999999</c:v>
                </c:pt>
                <c:pt idx="487">
                  <c:v>15.092000000000001</c:v>
                </c:pt>
                <c:pt idx="488">
                  <c:v>14.913</c:v>
                </c:pt>
                <c:pt idx="489">
                  <c:v>14.852</c:v>
                </c:pt>
                <c:pt idx="490">
                  <c:v>15.207000000000001</c:v>
                </c:pt>
                <c:pt idx="491">
                  <c:v>16.076000000000001</c:v>
                </c:pt>
                <c:pt idx="492">
                  <c:v>18.655999999999999</c:v>
                </c:pt>
                <c:pt idx="493">
                  <c:v>17.725999999999999</c:v>
                </c:pt>
                <c:pt idx="494">
                  <c:v>18.305</c:v>
                </c:pt>
                <c:pt idx="495">
                  <c:v>18.643000000000001</c:v>
                </c:pt>
                <c:pt idx="496">
                  <c:v>19.414999999999999</c:v>
                </c:pt>
                <c:pt idx="497">
                  <c:v>20.033999999999999</c:v>
                </c:pt>
                <c:pt idx="498">
                  <c:v>21.355</c:v>
                </c:pt>
                <c:pt idx="499">
                  <c:v>20.274000000000001</c:v>
                </c:pt>
                <c:pt idx="500">
                  <c:v>19.526</c:v>
                </c:pt>
                <c:pt idx="501">
                  <c:v>19.847999999999999</c:v>
                </c:pt>
                <c:pt idx="502">
                  <c:v>18.920000000000002</c:v>
                </c:pt>
                <c:pt idx="503">
                  <c:v>17.241</c:v>
                </c:pt>
                <c:pt idx="504">
                  <c:v>17.16</c:v>
                </c:pt>
                <c:pt idx="505">
                  <c:v>16.765000000000001</c:v>
                </c:pt>
                <c:pt idx="506">
                  <c:v>16.216999999999999</c:v>
                </c:pt>
                <c:pt idx="507">
                  <c:v>17.875</c:v>
                </c:pt>
                <c:pt idx="508">
                  <c:v>17.437999999999999</c:v>
                </c:pt>
                <c:pt idx="509">
                  <c:v>16.53</c:v>
                </c:pt>
                <c:pt idx="510">
                  <c:v>15.497999999999999</c:v>
                </c:pt>
                <c:pt idx="511">
                  <c:v>15.523999999999999</c:v>
                </c:pt>
                <c:pt idx="512">
                  <c:v>14.467000000000001</c:v>
                </c:pt>
                <c:pt idx="513">
                  <c:v>13.798</c:v>
                </c:pt>
                <c:pt idx="514">
                  <c:v>13.977</c:v>
                </c:pt>
                <c:pt idx="515">
                  <c:v>16.265999999999998</c:v>
                </c:pt>
                <c:pt idx="516">
                  <c:v>17.983000000000001</c:v>
                </c:pt>
                <c:pt idx="517">
                  <c:v>17.826000000000001</c:v>
                </c:pt>
                <c:pt idx="518">
                  <c:v>19.445</c:v>
                </c:pt>
                <c:pt idx="519">
                  <c:v>21.04</c:v>
                </c:pt>
                <c:pt idx="520">
                  <c:v>20.032</c:v>
                </c:pt>
                <c:pt idx="521">
                  <c:v>20.004999999999999</c:v>
                </c:pt>
                <c:pt idx="522">
                  <c:v>19.643999999999998</c:v>
                </c:pt>
                <c:pt idx="523">
                  <c:v>18.521999999999998</c:v>
                </c:pt>
                <c:pt idx="524">
                  <c:v>19.594000000000001</c:v>
                </c:pt>
                <c:pt idx="525">
                  <c:v>20.091000000000001</c:v>
                </c:pt>
                <c:pt idx="526">
                  <c:v>19.82</c:v>
                </c:pt>
                <c:pt idx="527">
                  <c:v>21.088000000000001</c:v>
                </c:pt>
                <c:pt idx="528">
                  <c:v>22.640999999999998</c:v>
                </c:pt>
                <c:pt idx="529">
                  <c:v>22.108000000000001</c:v>
                </c:pt>
                <c:pt idx="530">
                  <c:v>20.417999999999999</c:v>
                </c:pt>
                <c:pt idx="531">
                  <c:v>18.582000000000001</c:v>
                </c:pt>
                <c:pt idx="532">
                  <c:v>18.236999999999998</c:v>
                </c:pt>
                <c:pt idx="533">
                  <c:v>16.870999999999999</c:v>
                </c:pt>
                <c:pt idx="534">
                  <c:v>18.638000000000002</c:v>
                </c:pt>
                <c:pt idx="535">
                  <c:v>27.173999999999999</c:v>
                </c:pt>
                <c:pt idx="536">
                  <c:v>33.686999999999998</c:v>
                </c:pt>
                <c:pt idx="537">
                  <c:v>35.921999999999997</c:v>
                </c:pt>
                <c:pt idx="538">
                  <c:v>32.299999999999997</c:v>
                </c:pt>
                <c:pt idx="539">
                  <c:v>27.337</c:v>
                </c:pt>
                <c:pt idx="540">
                  <c:v>24.959</c:v>
                </c:pt>
                <c:pt idx="541">
                  <c:v>20.523</c:v>
                </c:pt>
                <c:pt idx="542">
                  <c:v>19.86</c:v>
                </c:pt>
                <c:pt idx="543">
                  <c:v>20.823</c:v>
                </c:pt>
                <c:pt idx="544">
                  <c:v>21.24</c:v>
                </c:pt>
                <c:pt idx="545">
                  <c:v>20.195</c:v>
                </c:pt>
                <c:pt idx="546">
                  <c:v>21.42</c:v>
                </c:pt>
                <c:pt idx="547">
                  <c:v>21.687999999999999</c:v>
                </c:pt>
                <c:pt idx="548">
                  <c:v>21.856999999999999</c:v>
                </c:pt>
                <c:pt idx="549">
                  <c:v>23.228000000000002</c:v>
                </c:pt>
                <c:pt idx="550">
                  <c:v>22.465</c:v>
                </c:pt>
                <c:pt idx="551">
                  <c:v>19.516999999999999</c:v>
                </c:pt>
                <c:pt idx="552">
                  <c:v>18.82</c:v>
                </c:pt>
                <c:pt idx="553">
                  <c:v>18.995000000000001</c:v>
                </c:pt>
                <c:pt idx="554">
                  <c:v>18.916</c:v>
                </c:pt>
                <c:pt idx="555">
                  <c:v>20.242999999999999</c:v>
                </c:pt>
                <c:pt idx="556">
                  <c:v>20.94</c:v>
                </c:pt>
                <c:pt idx="557">
                  <c:v>22.375</c:v>
                </c:pt>
                <c:pt idx="558">
                  <c:v>21.759</c:v>
                </c:pt>
                <c:pt idx="559">
                  <c:v>21.35</c:v>
                </c:pt>
                <c:pt idx="560">
                  <c:v>21.902000000000001</c:v>
                </c:pt>
                <c:pt idx="561">
                  <c:v>21.687999999999999</c:v>
                </c:pt>
                <c:pt idx="562">
                  <c:v>20.341999999999999</c:v>
                </c:pt>
                <c:pt idx="563">
                  <c:v>19.407</c:v>
                </c:pt>
                <c:pt idx="564">
                  <c:v>19.074999999999999</c:v>
                </c:pt>
                <c:pt idx="565">
                  <c:v>20.053000000000001</c:v>
                </c:pt>
                <c:pt idx="566">
                  <c:v>20.347000000000001</c:v>
                </c:pt>
                <c:pt idx="567">
                  <c:v>20.27</c:v>
                </c:pt>
                <c:pt idx="568">
                  <c:v>19.940000000000001</c:v>
                </c:pt>
                <c:pt idx="569">
                  <c:v>19.07</c:v>
                </c:pt>
                <c:pt idx="570">
                  <c:v>17.866</c:v>
                </c:pt>
                <c:pt idx="571">
                  <c:v>18.009</c:v>
                </c:pt>
                <c:pt idx="572">
                  <c:v>17.513999999999999</c:v>
                </c:pt>
                <c:pt idx="573">
                  <c:v>18.145</c:v>
                </c:pt>
                <c:pt idx="574">
                  <c:v>16.699000000000002</c:v>
                </c:pt>
                <c:pt idx="575">
                  <c:v>14.51</c:v>
                </c:pt>
                <c:pt idx="576">
                  <c:v>15</c:v>
                </c:pt>
                <c:pt idx="577">
                  <c:v>14.78</c:v>
                </c:pt>
                <c:pt idx="578">
                  <c:v>14.66</c:v>
                </c:pt>
                <c:pt idx="579">
                  <c:v>16.38</c:v>
                </c:pt>
                <c:pt idx="580">
                  <c:v>17.88</c:v>
                </c:pt>
                <c:pt idx="581">
                  <c:v>19.07</c:v>
                </c:pt>
                <c:pt idx="582">
                  <c:v>19.649999999999999</c:v>
                </c:pt>
                <c:pt idx="583">
                  <c:v>18.38</c:v>
                </c:pt>
                <c:pt idx="584">
                  <c:v>17.46</c:v>
                </c:pt>
                <c:pt idx="585">
                  <c:v>17.71</c:v>
                </c:pt>
                <c:pt idx="586">
                  <c:v>18.100000000000001</c:v>
                </c:pt>
                <c:pt idx="587">
                  <c:v>17.16</c:v>
                </c:pt>
                <c:pt idx="588">
                  <c:v>17.989999999999998</c:v>
                </c:pt>
                <c:pt idx="589">
                  <c:v>18.53</c:v>
                </c:pt>
                <c:pt idx="590">
                  <c:v>18.55</c:v>
                </c:pt>
                <c:pt idx="591">
                  <c:v>19.87</c:v>
                </c:pt>
                <c:pt idx="592">
                  <c:v>19.739999999999998</c:v>
                </c:pt>
                <c:pt idx="593">
                  <c:v>18.420000000000002</c:v>
                </c:pt>
                <c:pt idx="594">
                  <c:v>17.3</c:v>
                </c:pt>
                <c:pt idx="595">
                  <c:v>18.03</c:v>
                </c:pt>
                <c:pt idx="596">
                  <c:v>18.23</c:v>
                </c:pt>
                <c:pt idx="597">
                  <c:v>17.440000000000001</c:v>
                </c:pt>
                <c:pt idx="598">
                  <c:v>17.989999999999998</c:v>
                </c:pt>
                <c:pt idx="599">
                  <c:v>19.04</c:v>
                </c:pt>
                <c:pt idx="600">
                  <c:v>18.88</c:v>
                </c:pt>
                <c:pt idx="601">
                  <c:v>19.07</c:v>
                </c:pt>
                <c:pt idx="602">
                  <c:v>21.36</c:v>
                </c:pt>
                <c:pt idx="603">
                  <c:v>23.57</c:v>
                </c:pt>
                <c:pt idx="604">
                  <c:v>21.25</c:v>
                </c:pt>
                <c:pt idx="605">
                  <c:v>20.45</c:v>
                </c:pt>
                <c:pt idx="606">
                  <c:v>21.32</c:v>
                </c:pt>
                <c:pt idx="607">
                  <c:v>21.96</c:v>
                </c:pt>
                <c:pt idx="608">
                  <c:v>23.99</c:v>
                </c:pt>
                <c:pt idx="609">
                  <c:v>24.9</c:v>
                </c:pt>
                <c:pt idx="610">
                  <c:v>23.71</c:v>
                </c:pt>
                <c:pt idx="611">
                  <c:v>25.39</c:v>
                </c:pt>
                <c:pt idx="612">
                  <c:v>25.17</c:v>
                </c:pt>
                <c:pt idx="613">
                  <c:v>22.21</c:v>
                </c:pt>
                <c:pt idx="614">
                  <c:v>20.99</c:v>
                </c:pt>
                <c:pt idx="615">
                  <c:v>19.72</c:v>
                </c:pt>
                <c:pt idx="616">
                  <c:v>20.83</c:v>
                </c:pt>
                <c:pt idx="617">
                  <c:v>19.170000000000002</c:v>
                </c:pt>
                <c:pt idx="618">
                  <c:v>19.63</c:v>
                </c:pt>
                <c:pt idx="619">
                  <c:v>19.93</c:v>
                </c:pt>
                <c:pt idx="620">
                  <c:v>19.79</c:v>
                </c:pt>
                <c:pt idx="621">
                  <c:v>21.26</c:v>
                </c:pt>
                <c:pt idx="622">
                  <c:v>20.170000000000002</c:v>
                </c:pt>
                <c:pt idx="623">
                  <c:v>18.32</c:v>
                </c:pt>
                <c:pt idx="624">
                  <c:v>16.71</c:v>
                </c:pt>
                <c:pt idx="625">
                  <c:v>16.059999999999999</c:v>
                </c:pt>
                <c:pt idx="626">
                  <c:v>15.02</c:v>
                </c:pt>
                <c:pt idx="627">
                  <c:v>15.44</c:v>
                </c:pt>
                <c:pt idx="628">
                  <c:v>14.86</c:v>
                </c:pt>
                <c:pt idx="629">
                  <c:v>13.66</c:v>
                </c:pt>
                <c:pt idx="630">
                  <c:v>14.08</c:v>
                </c:pt>
                <c:pt idx="631">
                  <c:v>13.36</c:v>
                </c:pt>
                <c:pt idx="632">
                  <c:v>14.95</c:v>
                </c:pt>
                <c:pt idx="633">
                  <c:v>14.39</c:v>
                </c:pt>
                <c:pt idx="634">
                  <c:v>12.85</c:v>
                </c:pt>
                <c:pt idx="635">
                  <c:v>11.28</c:v>
                </c:pt>
                <c:pt idx="636">
                  <c:v>12.47</c:v>
                </c:pt>
                <c:pt idx="637">
                  <c:v>12.01</c:v>
                </c:pt>
                <c:pt idx="638">
                  <c:v>14.66</c:v>
                </c:pt>
                <c:pt idx="639">
                  <c:v>17.34</c:v>
                </c:pt>
                <c:pt idx="640">
                  <c:v>17.75</c:v>
                </c:pt>
                <c:pt idx="641">
                  <c:v>17.89</c:v>
                </c:pt>
                <c:pt idx="642">
                  <c:v>20.07</c:v>
                </c:pt>
                <c:pt idx="643">
                  <c:v>21.26</c:v>
                </c:pt>
                <c:pt idx="644">
                  <c:v>23.88</c:v>
                </c:pt>
                <c:pt idx="645">
                  <c:v>22.64</c:v>
                </c:pt>
                <c:pt idx="646">
                  <c:v>24.97</c:v>
                </c:pt>
                <c:pt idx="647">
                  <c:v>26.08</c:v>
                </c:pt>
                <c:pt idx="648">
                  <c:v>27.18</c:v>
                </c:pt>
                <c:pt idx="649">
                  <c:v>29.35</c:v>
                </c:pt>
                <c:pt idx="650">
                  <c:v>29.89</c:v>
                </c:pt>
                <c:pt idx="651">
                  <c:v>25.74</c:v>
                </c:pt>
                <c:pt idx="652">
                  <c:v>28.78</c:v>
                </c:pt>
                <c:pt idx="653">
                  <c:v>31.83</c:v>
                </c:pt>
                <c:pt idx="654">
                  <c:v>29.77</c:v>
                </c:pt>
                <c:pt idx="655">
                  <c:v>31.22</c:v>
                </c:pt>
                <c:pt idx="656">
                  <c:v>33.880000000000003</c:v>
                </c:pt>
                <c:pt idx="657">
                  <c:v>33.08</c:v>
                </c:pt>
                <c:pt idx="658">
                  <c:v>34.4</c:v>
                </c:pt>
                <c:pt idx="659">
                  <c:v>28.46</c:v>
                </c:pt>
                <c:pt idx="660">
                  <c:v>29.58</c:v>
                </c:pt>
                <c:pt idx="661">
                  <c:v>29.61</c:v>
                </c:pt>
                <c:pt idx="662">
                  <c:v>27.24</c:v>
                </c:pt>
                <c:pt idx="663">
                  <c:v>27.41</c:v>
                </c:pt>
                <c:pt idx="664">
                  <c:v>28.64</c:v>
                </c:pt>
                <c:pt idx="665">
                  <c:v>27.6</c:v>
                </c:pt>
                <c:pt idx="666">
                  <c:v>26.45</c:v>
                </c:pt>
                <c:pt idx="667">
                  <c:v>27.47</c:v>
                </c:pt>
                <c:pt idx="668">
                  <c:v>25.88</c:v>
                </c:pt>
                <c:pt idx="669">
                  <c:v>22.21</c:v>
                </c:pt>
                <c:pt idx="670">
                  <c:v>19.670000000000002</c:v>
                </c:pt>
                <c:pt idx="671">
                  <c:v>19.329999999999998</c:v>
                </c:pt>
                <c:pt idx="672">
                  <c:v>19.670000000000002</c:v>
                </c:pt>
                <c:pt idx="673">
                  <c:v>20.74</c:v>
                </c:pt>
                <c:pt idx="674">
                  <c:v>24.42</c:v>
                </c:pt>
                <c:pt idx="675">
                  <c:v>26.27</c:v>
                </c:pt>
                <c:pt idx="676">
                  <c:v>27.02</c:v>
                </c:pt>
                <c:pt idx="677">
                  <c:v>25.52</c:v>
                </c:pt>
                <c:pt idx="678">
                  <c:v>26.94</c:v>
                </c:pt>
                <c:pt idx="679">
                  <c:v>28.38</c:v>
                </c:pt>
                <c:pt idx="680">
                  <c:v>29.67</c:v>
                </c:pt>
                <c:pt idx="681">
                  <c:v>28.85</c:v>
                </c:pt>
                <c:pt idx="682">
                  <c:v>26.27</c:v>
                </c:pt>
                <c:pt idx="683">
                  <c:v>29.42</c:v>
                </c:pt>
                <c:pt idx="684">
                  <c:v>32.94</c:v>
                </c:pt>
                <c:pt idx="685">
                  <c:v>35.869999999999997</c:v>
                </c:pt>
                <c:pt idx="686">
                  <c:v>33.549999999999997</c:v>
                </c:pt>
                <c:pt idx="687">
                  <c:v>28.25</c:v>
                </c:pt>
                <c:pt idx="688">
                  <c:v>28.14</c:v>
                </c:pt>
                <c:pt idx="689">
                  <c:v>30.72</c:v>
                </c:pt>
                <c:pt idx="690">
                  <c:v>30.76</c:v>
                </c:pt>
                <c:pt idx="691">
                  <c:v>31.59</c:v>
                </c:pt>
                <c:pt idx="692">
                  <c:v>28.29</c:v>
                </c:pt>
                <c:pt idx="693">
                  <c:v>30.33</c:v>
                </c:pt>
                <c:pt idx="694">
                  <c:v>31.09</c:v>
                </c:pt>
                <c:pt idx="695">
                  <c:v>32.15</c:v>
                </c:pt>
                <c:pt idx="696">
                  <c:v>34.270000000000003</c:v>
                </c:pt>
                <c:pt idx="697">
                  <c:v>34.74</c:v>
                </c:pt>
                <c:pt idx="698">
                  <c:v>36.76</c:v>
                </c:pt>
                <c:pt idx="699">
                  <c:v>36.69</c:v>
                </c:pt>
                <c:pt idx="700">
                  <c:v>40.28</c:v>
                </c:pt>
                <c:pt idx="701">
                  <c:v>38.020000000000003</c:v>
                </c:pt>
                <c:pt idx="702">
                  <c:v>40.69</c:v>
                </c:pt>
                <c:pt idx="703">
                  <c:v>44.94</c:v>
                </c:pt>
                <c:pt idx="704">
                  <c:v>45.95</c:v>
                </c:pt>
                <c:pt idx="705">
                  <c:v>53.13</c:v>
                </c:pt>
                <c:pt idx="706">
                  <c:v>48.46</c:v>
                </c:pt>
                <c:pt idx="707">
                  <c:v>43.33</c:v>
                </c:pt>
                <c:pt idx="708">
                  <c:v>46.84</c:v>
                </c:pt>
                <c:pt idx="709">
                  <c:v>47.97</c:v>
                </c:pt>
                <c:pt idx="710">
                  <c:v>54.31</c:v>
                </c:pt>
                <c:pt idx="711">
                  <c:v>53.04</c:v>
                </c:pt>
                <c:pt idx="712">
                  <c:v>49.83</c:v>
                </c:pt>
                <c:pt idx="713">
                  <c:v>56.26</c:v>
                </c:pt>
                <c:pt idx="714">
                  <c:v>58.7</c:v>
                </c:pt>
                <c:pt idx="715">
                  <c:v>64.97</c:v>
                </c:pt>
                <c:pt idx="716">
                  <c:v>65.569999999999993</c:v>
                </c:pt>
                <c:pt idx="717">
                  <c:v>62.37</c:v>
                </c:pt>
                <c:pt idx="718">
                  <c:v>58.3</c:v>
                </c:pt>
                <c:pt idx="719">
                  <c:v>59.43</c:v>
                </c:pt>
                <c:pt idx="720">
                  <c:v>65.510000000000005</c:v>
                </c:pt>
                <c:pt idx="721">
                  <c:v>61.63</c:v>
                </c:pt>
                <c:pt idx="722">
                  <c:v>62.9</c:v>
                </c:pt>
                <c:pt idx="723">
                  <c:v>69.69</c:v>
                </c:pt>
                <c:pt idx="724">
                  <c:v>70.94</c:v>
                </c:pt>
                <c:pt idx="725">
                  <c:v>70.959999999999994</c:v>
                </c:pt>
                <c:pt idx="726">
                  <c:v>74.41</c:v>
                </c:pt>
                <c:pt idx="727">
                  <c:v>73.05</c:v>
                </c:pt>
                <c:pt idx="728">
                  <c:v>63.87</c:v>
                </c:pt>
                <c:pt idx="729">
                  <c:v>58.88</c:v>
                </c:pt>
                <c:pt idx="730">
                  <c:v>59.37</c:v>
                </c:pt>
                <c:pt idx="731">
                  <c:v>62.03</c:v>
                </c:pt>
                <c:pt idx="732">
                  <c:v>54.57</c:v>
                </c:pt>
                <c:pt idx="733">
                  <c:v>59.26</c:v>
                </c:pt>
                <c:pt idx="734">
                  <c:v>60.56</c:v>
                </c:pt>
                <c:pt idx="735">
                  <c:v>63.97</c:v>
                </c:pt>
                <c:pt idx="736">
                  <c:v>63.46</c:v>
                </c:pt>
                <c:pt idx="737">
                  <c:v>67.48</c:v>
                </c:pt>
                <c:pt idx="738">
                  <c:v>74.180000000000007</c:v>
                </c:pt>
                <c:pt idx="739">
                  <c:v>72.39</c:v>
                </c:pt>
                <c:pt idx="740">
                  <c:v>79.930000000000007</c:v>
                </c:pt>
                <c:pt idx="741">
                  <c:v>86.2</c:v>
                </c:pt>
                <c:pt idx="742">
                  <c:v>94.62</c:v>
                </c:pt>
                <c:pt idx="743">
                  <c:v>91.73</c:v>
                </c:pt>
                <c:pt idx="744">
                  <c:v>92.95</c:v>
                </c:pt>
                <c:pt idx="745">
                  <c:v>95.35</c:v>
                </c:pt>
                <c:pt idx="746">
                  <c:v>105.56</c:v>
                </c:pt>
                <c:pt idx="747">
                  <c:v>112.57</c:v>
                </c:pt>
                <c:pt idx="748">
                  <c:v>125.39</c:v>
                </c:pt>
                <c:pt idx="749">
                  <c:v>133.93</c:v>
                </c:pt>
                <c:pt idx="750">
                  <c:v>133.44</c:v>
                </c:pt>
                <c:pt idx="751">
                  <c:v>116.61</c:v>
                </c:pt>
                <c:pt idx="752">
                  <c:v>103.9</c:v>
                </c:pt>
                <c:pt idx="753">
                  <c:v>76.650000000000006</c:v>
                </c:pt>
                <c:pt idx="754">
                  <c:v>57.44</c:v>
                </c:pt>
                <c:pt idx="755">
                  <c:v>41.02</c:v>
                </c:pt>
                <c:pt idx="756">
                  <c:v>41.74</c:v>
                </c:pt>
                <c:pt idx="757">
                  <c:v>39.159999999999997</c:v>
                </c:pt>
                <c:pt idx="758">
                  <c:v>47.98</c:v>
                </c:pt>
                <c:pt idx="759">
                  <c:v>49.79</c:v>
                </c:pt>
                <c:pt idx="760">
                  <c:v>59.16</c:v>
                </c:pt>
                <c:pt idx="761">
                  <c:v>69.680000000000007</c:v>
                </c:pt>
                <c:pt idx="762">
                  <c:v>64.09</c:v>
                </c:pt>
                <c:pt idx="763">
                  <c:v>71.06</c:v>
                </c:pt>
                <c:pt idx="764">
                  <c:v>69.459999999999994</c:v>
                </c:pt>
                <c:pt idx="765">
                  <c:v>75.819999999999993</c:v>
                </c:pt>
                <c:pt idx="766">
                  <c:v>78.08</c:v>
                </c:pt>
                <c:pt idx="767">
                  <c:v>74.3</c:v>
                </c:pt>
                <c:pt idx="768">
                  <c:v>78.22</c:v>
                </c:pt>
                <c:pt idx="769">
                  <c:v>76.42</c:v>
                </c:pt>
                <c:pt idx="770">
                  <c:v>81.239999999999995</c:v>
                </c:pt>
                <c:pt idx="771">
                  <c:v>84.48</c:v>
                </c:pt>
                <c:pt idx="772">
                  <c:v>73.84</c:v>
                </c:pt>
                <c:pt idx="773">
                  <c:v>75.349999999999994</c:v>
                </c:pt>
                <c:pt idx="774">
                  <c:v>76.37</c:v>
                </c:pt>
                <c:pt idx="775">
                  <c:v>76.819999999999993</c:v>
                </c:pt>
                <c:pt idx="776">
                  <c:v>75.31</c:v>
                </c:pt>
                <c:pt idx="777">
                  <c:v>81.900000000000006</c:v>
                </c:pt>
                <c:pt idx="778">
                  <c:v>84.14</c:v>
                </c:pt>
                <c:pt idx="779">
                  <c:v>89.04</c:v>
                </c:pt>
                <c:pt idx="780">
                  <c:v>89.42</c:v>
                </c:pt>
                <c:pt idx="781">
                  <c:v>89.58</c:v>
                </c:pt>
                <c:pt idx="782">
                  <c:v>102.94</c:v>
                </c:pt>
                <c:pt idx="783">
                  <c:v>110.04</c:v>
                </c:pt>
                <c:pt idx="784">
                  <c:v>101.33</c:v>
                </c:pt>
                <c:pt idx="785">
                  <c:v>96.29</c:v>
                </c:pt>
                <c:pt idx="786">
                  <c:v>97.19</c:v>
                </c:pt>
                <c:pt idx="787">
                  <c:v>86.33</c:v>
                </c:pt>
                <c:pt idx="788">
                  <c:v>85.61</c:v>
                </c:pt>
                <c:pt idx="789">
                  <c:v>86.41</c:v>
                </c:pt>
                <c:pt idx="790">
                  <c:v>97.21</c:v>
                </c:pt>
                <c:pt idx="791">
                  <c:v>98.57</c:v>
                </c:pt>
                <c:pt idx="792">
                  <c:v>100.24</c:v>
                </c:pt>
                <c:pt idx="793">
                  <c:v>102.25</c:v>
                </c:pt>
                <c:pt idx="794">
                  <c:v>106.19</c:v>
                </c:pt>
                <c:pt idx="795">
                  <c:v>103.33</c:v>
                </c:pt>
                <c:pt idx="796">
                  <c:v>94.7</c:v>
                </c:pt>
                <c:pt idx="797">
                  <c:v>82.41</c:v>
                </c:pt>
                <c:pt idx="798">
                  <c:v>87.93</c:v>
                </c:pt>
                <c:pt idx="799">
                  <c:v>94.16</c:v>
                </c:pt>
                <c:pt idx="800">
                  <c:v>94.72</c:v>
                </c:pt>
                <c:pt idx="801">
                  <c:v>89.57</c:v>
                </c:pt>
                <c:pt idx="802">
                  <c:v>86.66</c:v>
                </c:pt>
                <c:pt idx="803">
                  <c:v>88.25</c:v>
                </c:pt>
                <c:pt idx="804">
                  <c:v>94.69</c:v>
                </c:pt>
                <c:pt idx="805">
                  <c:v>95.32</c:v>
                </c:pt>
                <c:pt idx="806">
                  <c:v>93.05</c:v>
                </c:pt>
                <c:pt idx="807">
                  <c:v>92.07</c:v>
                </c:pt>
                <c:pt idx="808">
                  <c:v>94.8</c:v>
                </c:pt>
                <c:pt idx="809">
                  <c:v>95.8</c:v>
                </c:pt>
                <c:pt idx="810">
                  <c:v>104.61</c:v>
                </c:pt>
                <c:pt idx="811">
                  <c:v>106.57</c:v>
                </c:pt>
                <c:pt idx="812">
                  <c:v>106.29</c:v>
                </c:pt>
                <c:pt idx="813">
                  <c:v>100.54</c:v>
                </c:pt>
                <c:pt idx="814">
                  <c:v>93.86</c:v>
                </c:pt>
                <c:pt idx="815">
                  <c:v>97.63</c:v>
                </c:pt>
                <c:pt idx="816">
                  <c:v>94.62</c:v>
                </c:pt>
                <c:pt idx="817">
                  <c:v>100.82</c:v>
                </c:pt>
                <c:pt idx="818">
                  <c:v>100.8</c:v>
                </c:pt>
                <c:pt idx="819">
                  <c:v>102.07</c:v>
                </c:pt>
                <c:pt idx="820">
                  <c:v>102.18</c:v>
                </c:pt>
                <c:pt idx="821">
                  <c:v>105.79</c:v>
                </c:pt>
                <c:pt idx="822">
                  <c:v>103.59</c:v>
                </c:pt>
                <c:pt idx="823">
                  <c:v>96.54</c:v>
                </c:pt>
                <c:pt idx="824">
                  <c:v>93.21</c:v>
                </c:pt>
                <c:pt idx="825">
                  <c:v>84.4</c:v>
                </c:pt>
                <c:pt idx="826">
                  <c:v>75.790000000000006</c:v>
                </c:pt>
                <c:pt idx="827">
                  <c:v>59.29</c:v>
                </c:pt>
                <c:pt idx="828">
                  <c:v>47.22</c:v>
                </c:pt>
                <c:pt idx="829">
                  <c:v>50.58</c:v>
                </c:pt>
                <c:pt idx="830">
                  <c:v>47.82</c:v>
                </c:pt>
                <c:pt idx="831">
                  <c:v>54.45</c:v>
                </c:pt>
                <c:pt idx="832">
                  <c:v>59.27</c:v>
                </c:pt>
                <c:pt idx="833">
                  <c:v>59.82</c:v>
                </c:pt>
                <c:pt idx="834">
                  <c:v>50.9</c:v>
                </c:pt>
                <c:pt idx="835">
                  <c:v>42.87</c:v>
                </c:pt>
                <c:pt idx="836">
                  <c:v>45.48</c:v>
                </c:pt>
                <c:pt idx="837">
                  <c:v>46.22</c:v>
                </c:pt>
                <c:pt idx="838">
                  <c:v>42.44</c:v>
                </c:pt>
                <c:pt idx="839">
                  <c:v>37.19</c:v>
                </c:pt>
                <c:pt idx="840">
                  <c:v>31.68</c:v>
                </c:pt>
                <c:pt idx="841">
                  <c:v>30.32</c:v>
                </c:pt>
                <c:pt idx="842">
                  <c:v>37.549999999999997</c:v>
                </c:pt>
                <c:pt idx="843">
                  <c:v>40.75</c:v>
                </c:pt>
                <c:pt idx="844">
                  <c:v>46.71</c:v>
                </c:pt>
                <c:pt idx="845">
                  <c:v>48.76</c:v>
                </c:pt>
                <c:pt idx="846">
                  <c:v>44.65</c:v>
                </c:pt>
                <c:pt idx="847">
                  <c:v>44.72</c:v>
                </c:pt>
                <c:pt idx="848">
                  <c:v>45.18</c:v>
                </c:pt>
                <c:pt idx="849">
                  <c:v>49.78</c:v>
                </c:pt>
                <c:pt idx="850">
                  <c:v>45.66</c:v>
                </c:pt>
                <c:pt idx="851">
                  <c:v>51.97</c:v>
                </c:pt>
                <c:pt idx="852">
                  <c:v>52.5</c:v>
                </c:pt>
                <c:pt idx="853">
                  <c:v>53.47</c:v>
                </c:pt>
                <c:pt idx="854">
                  <c:v>49.33</c:v>
                </c:pt>
                <c:pt idx="855">
                  <c:v>51.06</c:v>
                </c:pt>
                <c:pt idx="856">
                  <c:v>48.48</c:v>
                </c:pt>
                <c:pt idx="857">
                  <c:v>45.18</c:v>
                </c:pt>
                <c:pt idx="858">
                  <c:v>46.63</c:v>
                </c:pt>
                <c:pt idx="859">
                  <c:v>48.04</c:v>
                </c:pt>
                <c:pt idx="860">
                  <c:v>49.82</c:v>
                </c:pt>
                <c:pt idx="861">
                  <c:v>51.58</c:v>
                </c:pt>
                <c:pt idx="862">
                  <c:v>56.64</c:v>
                </c:pt>
                <c:pt idx="863">
                  <c:v>57.88</c:v>
                </c:pt>
                <c:pt idx="864">
                  <c:v>63.7</c:v>
                </c:pt>
                <c:pt idx="865">
                  <c:v>62.23</c:v>
                </c:pt>
                <c:pt idx="866">
                  <c:v>62.73</c:v>
                </c:pt>
                <c:pt idx="867">
                  <c:v>66.25</c:v>
                </c:pt>
                <c:pt idx="868">
                  <c:v>69.98</c:v>
                </c:pt>
                <c:pt idx="869">
                  <c:v>67.87</c:v>
                </c:pt>
                <c:pt idx="870">
                  <c:v>70.98</c:v>
                </c:pt>
                <c:pt idx="871">
                  <c:v>68.06</c:v>
                </c:pt>
                <c:pt idx="872">
                  <c:v>70.23</c:v>
                </c:pt>
                <c:pt idx="873">
                  <c:v>70.75</c:v>
                </c:pt>
                <c:pt idx="874">
                  <c:v>56.96</c:v>
                </c:pt>
                <c:pt idx="875">
                  <c:v>49.52</c:v>
                </c:pt>
                <c:pt idx="876">
                  <c:v>51.38</c:v>
                </c:pt>
                <c:pt idx="877">
                  <c:v>54.95</c:v>
                </c:pt>
                <c:pt idx="878">
                  <c:v>58.15</c:v>
                </c:pt>
                <c:pt idx="879">
                  <c:v>63.86</c:v>
                </c:pt>
                <c:pt idx="880">
                  <c:v>60.83</c:v>
                </c:pt>
                <c:pt idx="881">
                  <c:v>54.66</c:v>
                </c:pt>
                <c:pt idx="882">
                  <c:v>57.35</c:v>
                </c:pt>
                <c:pt idx="883">
                  <c:v>54.81</c:v>
                </c:pt>
                <c:pt idx="884">
                  <c:v>56.95</c:v>
                </c:pt>
                <c:pt idx="885">
                  <c:v>53.96</c:v>
                </c:pt>
                <c:pt idx="886">
                  <c:v>57.03</c:v>
                </c:pt>
                <c:pt idx="887">
                  <c:v>59.88</c:v>
                </c:pt>
                <c:pt idx="888">
                  <c:v>57.52</c:v>
                </c:pt>
                <c:pt idx="889">
                  <c:v>50.54</c:v>
                </c:pt>
                <c:pt idx="890">
                  <c:v>29.21</c:v>
                </c:pt>
                <c:pt idx="891">
                  <c:v>16.55</c:v>
                </c:pt>
                <c:pt idx="892">
                  <c:v>28.56</c:v>
                </c:pt>
                <c:pt idx="893">
                  <c:v>38.31</c:v>
                </c:pt>
                <c:pt idx="894">
                  <c:v>40.71</c:v>
                </c:pt>
                <c:pt idx="895">
                  <c:v>42.34</c:v>
                </c:pt>
                <c:pt idx="896">
                  <c:v>39.630000000000003</c:v>
                </c:pt>
                <c:pt idx="897">
                  <c:v>39.4</c:v>
                </c:pt>
                <c:pt idx="898">
                  <c:v>40.94</c:v>
                </c:pt>
                <c:pt idx="899">
                  <c:v>47.02</c:v>
                </c:pt>
                <c:pt idx="900">
                  <c:v>52</c:v>
                </c:pt>
                <c:pt idx="901">
                  <c:v>59.04</c:v>
                </c:pt>
                <c:pt idx="902">
                  <c:v>62.33</c:v>
                </c:pt>
                <c:pt idx="903">
                  <c:v>61.72</c:v>
                </c:pt>
                <c:pt idx="904">
                  <c:v>65.17</c:v>
                </c:pt>
                <c:pt idx="905">
                  <c:v>71.38</c:v>
                </c:pt>
                <c:pt idx="906">
                  <c:v>72.489999999999995</c:v>
                </c:pt>
                <c:pt idx="907">
                  <c:v>67.73</c:v>
                </c:pt>
                <c:pt idx="908">
                  <c:v>71.650000000000006</c:v>
                </c:pt>
                <c:pt idx="909">
                  <c:v>81.48</c:v>
                </c:pt>
                <c:pt idx="910">
                  <c:v>79.150000000000006</c:v>
                </c:pt>
                <c:pt idx="911">
                  <c:v>71.709999999999994</c:v>
                </c:pt>
                <c:pt idx="912">
                  <c:v>83.22</c:v>
                </c:pt>
                <c:pt idx="913">
                  <c:v>91.64</c:v>
                </c:pt>
                <c:pt idx="914">
                  <c:v>108.5</c:v>
                </c:pt>
                <c:pt idx="915">
                  <c:v>101.78</c:v>
                </c:pt>
                <c:pt idx="916">
                  <c:v>109.55</c:v>
                </c:pt>
                <c:pt idx="917">
                  <c:v>114.84</c:v>
                </c:pt>
                <c:pt idx="918">
                  <c:v>101.62</c:v>
                </c:pt>
                <c:pt idx="919">
                  <c:v>93.67</c:v>
                </c:pt>
                <c:pt idx="920">
                  <c:v>84.26</c:v>
                </c:pt>
                <c:pt idx="921">
                  <c:v>87.55</c:v>
                </c:pt>
                <c:pt idx="922">
                  <c:v>84.37</c:v>
                </c:pt>
                <c:pt idx="923">
                  <c:v>76.44</c:v>
                </c:pt>
                <c:pt idx="924">
                  <c:v>78.12</c:v>
                </c:pt>
                <c:pt idx="925">
                  <c:v>76.83</c:v>
                </c:pt>
                <c:pt idx="926">
                  <c:v>73.28</c:v>
                </c:pt>
                <c:pt idx="927">
                  <c:v>79.45</c:v>
                </c:pt>
                <c:pt idx="928">
                  <c:v>71.58</c:v>
                </c:pt>
                <c:pt idx="929">
                  <c:v>70.25</c:v>
                </c:pt>
                <c:pt idx="930">
                  <c:v>76.069999999999993</c:v>
                </c:pt>
                <c:pt idx="931">
                  <c:v>81.39</c:v>
                </c:pt>
                <c:pt idx="932">
                  <c:v>89.43</c:v>
                </c:pt>
                <c:pt idx="933">
                  <c:v>85.64</c:v>
                </c:pt>
                <c:pt idx="934">
                  <c:v>77.69</c:v>
                </c:pt>
                <c:pt idx="935">
                  <c:v>71.900000000000006</c:v>
                </c:pt>
                <c:pt idx="936">
                  <c:v>74.150000000000006</c:v>
                </c:pt>
                <c:pt idx="937">
                  <c:v>77.25</c:v>
                </c:pt>
                <c:pt idx="938">
                  <c:v>81.28</c:v>
                </c:pt>
                <c:pt idx="939">
                  <c:v>85.35</c:v>
                </c:pt>
                <c:pt idx="940">
                  <c:v>80.02</c:v>
                </c:pt>
                <c:pt idx="941">
                  <c:v>79.77</c:v>
                </c:pt>
                <c:pt idx="942">
                  <c:v>81.8</c:v>
                </c:pt>
                <c:pt idx="943">
                  <c:v>76.680000000000007</c:v>
                </c:pt>
                <c:pt idx="944">
                  <c:v>70.239999999999995</c:v>
                </c:pt>
                <c:pt idx="945">
                  <c:v>71.989999999999995</c:v>
                </c:pt>
                <c:pt idx="946">
                  <c:v>69.95</c:v>
                </c:pt>
                <c:pt idx="947">
                  <c:v>70.12</c:v>
                </c:pt>
                <c:pt idx="948">
                  <c:v>75.739999999999995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E8-432B-BA74-D31F52CFF283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Forecast(WTISPLC)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Forecast!$A$2:$A$1258</c:f>
              <c:numCache>
                <c:formatCode>yyyy\-mm\-dd</c:formatCode>
                <c:ptCount val="1257"/>
                <c:pt idx="0">
                  <c:v>16803</c:v>
                </c:pt>
                <c:pt idx="1">
                  <c:v>16834</c:v>
                </c:pt>
                <c:pt idx="2">
                  <c:v>16862</c:v>
                </c:pt>
                <c:pt idx="3">
                  <c:v>16893</c:v>
                </c:pt>
                <c:pt idx="4">
                  <c:v>16923</c:v>
                </c:pt>
                <c:pt idx="5">
                  <c:v>16954</c:v>
                </c:pt>
                <c:pt idx="6">
                  <c:v>16984</c:v>
                </c:pt>
                <c:pt idx="7">
                  <c:v>17015</c:v>
                </c:pt>
                <c:pt idx="8">
                  <c:v>17046</c:v>
                </c:pt>
                <c:pt idx="9">
                  <c:v>17076</c:v>
                </c:pt>
                <c:pt idx="10">
                  <c:v>17107</c:v>
                </c:pt>
                <c:pt idx="11">
                  <c:v>17137</c:v>
                </c:pt>
                <c:pt idx="12">
                  <c:v>17168</c:v>
                </c:pt>
                <c:pt idx="13">
                  <c:v>17199</c:v>
                </c:pt>
                <c:pt idx="14">
                  <c:v>17227</c:v>
                </c:pt>
                <c:pt idx="15">
                  <c:v>17258</c:v>
                </c:pt>
                <c:pt idx="16">
                  <c:v>17288</c:v>
                </c:pt>
                <c:pt idx="17">
                  <c:v>17319</c:v>
                </c:pt>
                <c:pt idx="18">
                  <c:v>17349</c:v>
                </c:pt>
                <c:pt idx="19">
                  <c:v>17380</c:v>
                </c:pt>
                <c:pt idx="20">
                  <c:v>17411</c:v>
                </c:pt>
                <c:pt idx="21">
                  <c:v>17441</c:v>
                </c:pt>
                <c:pt idx="22">
                  <c:v>17472</c:v>
                </c:pt>
                <c:pt idx="23">
                  <c:v>17502</c:v>
                </c:pt>
                <c:pt idx="24">
                  <c:v>17533</c:v>
                </c:pt>
                <c:pt idx="25">
                  <c:v>17564</c:v>
                </c:pt>
                <c:pt idx="26">
                  <c:v>17593</c:v>
                </c:pt>
                <c:pt idx="27">
                  <c:v>17624</c:v>
                </c:pt>
                <c:pt idx="28">
                  <c:v>17654</c:v>
                </c:pt>
                <c:pt idx="29">
                  <c:v>17685</c:v>
                </c:pt>
                <c:pt idx="30">
                  <c:v>17715</c:v>
                </c:pt>
                <c:pt idx="31">
                  <c:v>17746</c:v>
                </c:pt>
                <c:pt idx="32">
                  <c:v>17777</c:v>
                </c:pt>
                <c:pt idx="33">
                  <c:v>17807</c:v>
                </c:pt>
                <c:pt idx="34">
                  <c:v>17838</c:v>
                </c:pt>
                <c:pt idx="35">
                  <c:v>17868</c:v>
                </c:pt>
                <c:pt idx="36">
                  <c:v>17899</c:v>
                </c:pt>
                <c:pt idx="37">
                  <c:v>17930</c:v>
                </c:pt>
                <c:pt idx="38">
                  <c:v>17958</c:v>
                </c:pt>
                <c:pt idx="39">
                  <c:v>17989</c:v>
                </c:pt>
                <c:pt idx="40">
                  <c:v>18019</c:v>
                </c:pt>
                <c:pt idx="41">
                  <c:v>18050</c:v>
                </c:pt>
                <c:pt idx="42">
                  <c:v>18080</c:v>
                </c:pt>
                <c:pt idx="43">
                  <c:v>18111</c:v>
                </c:pt>
                <c:pt idx="44">
                  <c:v>18142</c:v>
                </c:pt>
                <c:pt idx="45">
                  <c:v>18172</c:v>
                </c:pt>
                <c:pt idx="46">
                  <c:v>18203</c:v>
                </c:pt>
                <c:pt idx="47">
                  <c:v>18233</c:v>
                </c:pt>
                <c:pt idx="48">
                  <c:v>18264</c:v>
                </c:pt>
                <c:pt idx="49">
                  <c:v>18295</c:v>
                </c:pt>
                <c:pt idx="50">
                  <c:v>18323</c:v>
                </c:pt>
                <c:pt idx="51">
                  <c:v>18354</c:v>
                </c:pt>
                <c:pt idx="52">
                  <c:v>18384</c:v>
                </c:pt>
                <c:pt idx="53">
                  <c:v>18415</c:v>
                </c:pt>
                <c:pt idx="54">
                  <c:v>18445</c:v>
                </c:pt>
                <c:pt idx="55">
                  <c:v>18476</c:v>
                </c:pt>
                <c:pt idx="56">
                  <c:v>18507</c:v>
                </c:pt>
                <c:pt idx="57">
                  <c:v>18537</c:v>
                </c:pt>
                <c:pt idx="58">
                  <c:v>18568</c:v>
                </c:pt>
                <c:pt idx="59">
                  <c:v>18598</c:v>
                </c:pt>
                <c:pt idx="60">
                  <c:v>18629</c:v>
                </c:pt>
                <c:pt idx="61">
                  <c:v>18660</c:v>
                </c:pt>
                <c:pt idx="62">
                  <c:v>18688</c:v>
                </c:pt>
                <c:pt idx="63">
                  <c:v>18719</c:v>
                </c:pt>
                <c:pt idx="64">
                  <c:v>18749</c:v>
                </c:pt>
                <c:pt idx="65">
                  <c:v>18780</c:v>
                </c:pt>
                <c:pt idx="66">
                  <c:v>18810</c:v>
                </c:pt>
                <c:pt idx="67">
                  <c:v>18841</c:v>
                </c:pt>
                <c:pt idx="68">
                  <c:v>18872</c:v>
                </c:pt>
                <c:pt idx="69">
                  <c:v>18902</c:v>
                </c:pt>
                <c:pt idx="70">
                  <c:v>18933</c:v>
                </c:pt>
                <c:pt idx="71">
                  <c:v>18963</c:v>
                </c:pt>
                <c:pt idx="72">
                  <c:v>18994</c:v>
                </c:pt>
                <c:pt idx="73">
                  <c:v>19025</c:v>
                </c:pt>
                <c:pt idx="74">
                  <c:v>19054</c:v>
                </c:pt>
                <c:pt idx="75">
                  <c:v>19085</c:v>
                </c:pt>
                <c:pt idx="76">
                  <c:v>19115</c:v>
                </c:pt>
                <c:pt idx="77">
                  <c:v>19146</c:v>
                </c:pt>
                <c:pt idx="78">
                  <c:v>19176</c:v>
                </c:pt>
                <c:pt idx="79">
                  <c:v>19207</c:v>
                </c:pt>
                <c:pt idx="80">
                  <c:v>19238</c:v>
                </c:pt>
                <c:pt idx="81">
                  <c:v>19268</c:v>
                </c:pt>
                <c:pt idx="82">
                  <c:v>19299</c:v>
                </c:pt>
                <c:pt idx="83">
                  <c:v>19329</c:v>
                </c:pt>
                <c:pt idx="84">
                  <c:v>19360</c:v>
                </c:pt>
                <c:pt idx="85">
                  <c:v>19391</c:v>
                </c:pt>
                <c:pt idx="86">
                  <c:v>19419</c:v>
                </c:pt>
                <c:pt idx="87">
                  <c:v>19450</c:v>
                </c:pt>
                <c:pt idx="88">
                  <c:v>19480</c:v>
                </c:pt>
                <c:pt idx="89">
                  <c:v>19511</c:v>
                </c:pt>
                <c:pt idx="90">
                  <c:v>19541</c:v>
                </c:pt>
                <c:pt idx="91">
                  <c:v>19572</c:v>
                </c:pt>
                <c:pt idx="92">
                  <c:v>19603</c:v>
                </c:pt>
                <c:pt idx="93">
                  <c:v>19633</c:v>
                </c:pt>
                <c:pt idx="94">
                  <c:v>19664</c:v>
                </c:pt>
                <c:pt idx="95">
                  <c:v>19694</c:v>
                </c:pt>
                <c:pt idx="96">
                  <c:v>19725</c:v>
                </c:pt>
                <c:pt idx="97">
                  <c:v>19756</c:v>
                </c:pt>
                <c:pt idx="98">
                  <c:v>19784</c:v>
                </c:pt>
                <c:pt idx="99">
                  <c:v>19815</c:v>
                </c:pt>
                <c:pt idx="100">
                  <c:v>19845</c:v>
                </c:pt>
                <c:pt idx="101">
                  <c:v>19876</c:v>
                </c:pt>
                <c:pt idx="102">
                  <c:v>19906</c:v>
                </c:pt>
                <c:pt idx="103">
                  <c:v>19937</c:v>
                </c:pt>
                <c:pt idx="104">
                  <c:v>19968</c:v>
                </c:pt>
                <c:pt idx="105">
                  <c:v>19998</c:v>
                </c:pt>
                <c:pt idx="106">
                  <c:v>20029</c:v>
                </c:pt>
                <c:pt idx="107">
                  <c:v>20059</c:v>
                </c:pt>
                <c:pt idx="108">
                  <c:v>20090</c:v>
                </c:pt>
                <c:pt idx="109">
                  <c:v>20121</c:v>
                </c:pt>
                <c:pt idx="110">
                  <c:v>20149</c:v>
                </c:pt>
                <c:pt idx="111">
                  <c:v>20180</c:v>
                </c:pt>
                <c:pt idx="112">
                  <c:v>20210</c:v>
                </c:pt>
                <c:pt idx="113">
                  <c:v>20241</c:v>
                </c:pt>
                <c:pt idx="114">
                  <c:v>20271</c:v>
                </c:pt>
                <c:pt idx="115">
                  <c:v>20302</c:v>
                </c:pt>
                <c:pt idx="116">
                  <c:v>20333</c:v>
                </c:pt>
                <c:pt idx="117">
                  <c:v>20363</c:v>
                </c:pt>
                <c:pt idx="118">
                  <c:v>20394</c:v>
                </c:pt>
                <c:pt idx="119">
                  <c:v>20424</c:v>
                </c:pt>
                <c:pt idx="120">
                  <c:v>20455</c:v>
                </c:pt>
                <c:pt idx="121">
                  <c:v>20486</c:v>
                </c:pt>
                <c:pt idx="122">
                  <c:v>20515</c:v>
                </c:pt>
                <c:pt idx="123">
                  <c:v>20546</c:v>
                </c:pt>
                <c:pt idx="124">
                  <c:v>20576</c:v>
                </c:pt>
                <c:pt idx="125">
                  <c:v>20607</c:v>
                </c:pt>
                <c:pt idx="126">
                  <c:v>20637</c:v>
                </c:pt>
                <c:pt idx="127">
                  <c:v>20668</c:v>
                </c:pt>
                <c:pt idx="128">
                  <c:v>20699</c:v>
                </c:pt>
                <c:pt idx="129">
                  <c:v>20729</c:v>
                </c:pt>
                <c:pt idx="130">
                  <c:v>20760</c:v>
                </c:pt>
                <c:pt idx="131">
                  <c:v>20790</c:v>
                </c:pt>
                <c:pt idx="132">
                  <c:v>20821</c:v>
                </c:pt>
                <c:pt idx="133">
                  <c:v>20852</c:v>
                </c:pt>
                <c:pt idx="134">
                  <c:v>20880</c:v>
                </c:pt>
                <c:pt idx="135">
                  <c:v>20911</c:v>
                </c:pt>
                <c:pt idx="136">
                  <c:v>20941</c:v>
                </c:pt>
                <c:pt idx="137">
                  <c:v>20972</c:v>
                </c:pt>
                <c:pt idx="138">
                  <c:v>21002</c:v>
                </c:pt>
                <c:pt idx="139">
                  <c:v>21033</c:v>
                </c:pt>
                <c:pt idx="140">
                  <c:v>21064</c:v>
                </c:pt>
                <c:pt idx="141">
                  <c:v>21094</c:v>
                </c:pt>
                <c:pt idx="142">
                  <c:v>21125</c:v>
                </c:pt>
                <c:pt idx="143">
                  <c:v>21155</c:v>
                </c:pt>
                <c:pt idx="144">
                  <c:v>21186</c:v>
                </c:pt>
                <c:pt idx="145">
                  <c:v>21217</c:v>
                </c:pt>
                <c:pt idx="146">
                  <c:v>21245</c:v>
                </c:pt>
                <c:pt idx="147">
                  <c:v>21276</c:v>
                </c:pt>
                <c:pt idx="148">
                  <c:v>21306</c:v>
                </c:pt>
                <c:pt idx="149">
                  <c:v>21337</c:v>
                </c:pt>
                <c:pt idx="150">
                  <c:v>21367</c:v>
                </c:pt>
                <c:pt idx="151">
                  <c:v>21398</c:v>
                </c:pt>
                <c:pt idx="152">
                  <c:v>21429</c:v>
                </c:pt>
                <c:pt idx="153">
                  <c:v>21459</c:v>
                </c:pt>
                <c:pt idx="154">
                  <c:v>21490</c:v>
                </c:pt>
                <c:pt idx="155">
                  <c:v>21520</c:v>
                </c:pt>
                <c:pt idx="156">
                  <c:v>21551</c:v>
                </c:pt>
                <c:pt idx="157">
                  <c:v>21582</c:v>
                </c:pt>
                <c:pt idx="158">
                  <c:v>21610</c:v>
                </c:pt>
                <c:pt idx="159">
                  <c:v>21641</c:v>
                </c:pt>
                <c:pt idx="160">
                  <c:v>21671</c:v>
                </c:pt>
                <c:pt idx="161">
                  <c:v>21702</c:v>
                </c:pt>
                <c:pt idx="162">
                  <c:v>21732</c:v>
                </c:pt>
                <c:pt idx="163">
                  <c:v>21763</c:v>
                </c:pt>
                <c:pt idx="164">
                  <c:v>21794</c:v>
                </c:pt>
                <c:pt idx="165">
                  <c:v>21824</c:v>
                </c:pt>
                <c:pt idx="166">
                  <c:v>21855</c:v>
                </c:pt>
                <c:pt idx="167">
                  <c:v>21885</c:v>
                </c:pt>
                <c:pt idx="168">
                  <c:v>21916</c:v>
                </c:pt>
                <c:pt idx="169">
                  <c:v>21947</c:v>
                </c:pt>
                <c:pt idx="170">
                  <c:v>21976</c:v>
                </c:pt>
                <c:pt idx="171">
                  <c:v>22007</c:v>
                </c:pt>
                <c:pt idx="172">
                  <c:v>22037</c:v>
                </c:pt>
                <c:pt idx="173">
                  <c:v>22068</c:v>
                </c:pt>
                <c:pt idx="174">
                  <c:v>22098</c:v>
                </c:pt>
                <c:pt idx="175">
                  <c:v>22129</c:v>
                </c:pt>
                <c:pt idx="176">
                  <c:v>22160</c:v>
                </c:pt>
                <c:pt idx="177">
                  <c:v>22190</c:v>
                </c:pt>
                <c:pt idx="178">
                  <c:v>22221</c:v>
                </c:pt>
                <c:pt idx="179">
                  <c:v>22251</c:v>
                </c:pt>
                <c:pt idx="180">
                  <c:v>22282</c:v>
                </c:pt>
                <c:pt idx="181">
                  <c:v>22313</c:v>
                </c:pt>
                <c:pt idx="182">
                  <c:v>22341</c:v>
                </c:pt>
                <c:pt idx="183">
                  <c:v>22372</c:v>
                </c:pt>
                <c:pt idx="184">
                  <c:v>22402</c:v>
                </c:pt>
                <c:pt idx="185">
                  <c:v>22433</c:v>
                </c:pt>
                <c:pt idx="186">
                  <c:v>22463</c:v>
                </c:pt>
                <c:pt idx="187">
                  <c:v>22494</c:v>
                </c:pt>
                <c:pt idx="188">
                  <c:v>22525</c:v>
                </c:pt>
                <c:pt idx="189">
                  <c:v>22555</c:v>
                </c:pt>
                <c:pt idx="190">
                  <c:v>22586</c:v>
                </c:pt>
                <c:pt idx="191">
                  <c:v>22616</c:v>
                </c:pt>
                <c:pt idx="192">
                  <c:v>22647</c:v>
                </c:pt>
                <c:pt idx="193">
                  <c:v>22678</c:v>
                </c:pt>
                <c:pt idx="194">
                  <c:v>22706</c:v>
                </c:pt>
                <c:pt idx="195">
                  <c:v>22737</c:v>
                </c:pt>
                <c:pt idx="196">
                  <c:v>22767</c:v>
                </c:pt>
                <c:pt idx="197">
                  <c:v>22798</c:v>
                </c:pt>
                <c:pt idx="198">
                  <c:v>22828</c:v>
                </c:pt>
                <c:pt idx="199">
                  <c:v>22859</c:v>
                </c:pt>
                <c:pt idx="200">
                  <c:v>22890</c:v>
                </c:pt>
                <c:pt idx="201">
                  <c:v>22920</c:v>
                </c:pt>
                <c:pt idx="202">
                  <c:v>22951</c:v>
                </c:pt>
                <c:pt idx="203">
                  <c:v>22981</c:v>
                </c:pt>
                <c:pt idx="204">
                  <c:v>23012</c:v>
                </c:pt>
                <c:pt idx="205">
                  <c:v>23043</c:v>
                </c:pt>
                <c:pt idx="206">
                  <c:v>23071</c:v>
                </c:pt>
                <c:pt idx="207">
                  <c:v>23102</c:v>
                </c:pt>
                <c:pt idx="208">
                  <c:v>23132</c:v>
                </c:pt>
                <c:pt idx="209">
                  <c:v>23163</c:v>
                </c:pt>
                <c:pt idx="210">
                  <c:v>23193</c:v>
                </c:pt>
                <c:pt idx="211">
                  <c:v>23224</c:v>
                </c:pt>
                <c:pt idx="212">
                  <c:v>23255</c:v>
                </c:pt>
                <c:pt idx="213">
                  <c:v>23285</c:v>
                </c:pt>
                <c:pt idx="214">
                  <c:v>23316</c:v>
                </c:pt>
                <c:pt idx="215">
                  <c:v>23346</c:v>
                </c:pt>
                <c:pt idx="216">
                  <c:v>23377</c:v>
                </c:pt>
                <c:pt idx="217">
                  <c:v>23408</c:v>
                </c:pt>
                <c:pt idx="218">
                  <c:v>23437</c:v>
                </c:pt>
                <c:pt idx="219">
                  <c:v>23468</c:v>
                </c:pt>
                <c:pt idx="220">
                  <c:v>23498</c:v>
                </c:pt>
                <c:pt idx="221">
                  <c:v>23529</c:v>
                </c:pt>
                <c:pt idx="222">
                  <c:v>23559</c:v>
                </c:pt>
                <c:pt idx="223">
                  <c:v>23590</c:v>
                </c:pt>
                <c:pt idx="224">
                  <c:v>23621</c:v>
                </c:pt>
                <c:pt idx="225">
                  <c:v>23651</c:v>
                </c:pt>
                <c:pt idx="226">
                  <c:v>23682</c:v>
                </c:pt>
                <c:pt idx="227">
                  <c:v>23712</c:v>
                </c:pt>
                <c:pt idx="228">
                  <c:v>23743</c:v>
                </c:pt>
                <c:pt idx="229">
                  <c:v>23774</c:v>
                </c:pt>
                <c:pt idx="230">
                  <c:v>23802</c:v>
                </c:pt>
                <c:pt idx="231">
                  <c:v>23833</c:v>
                </c:pt>
                <c:pt idx="232">
                  <c:v>23863</c:v>
                </c:pt>
                <c:pt idx="233">
                  <c:v>23894</c:v>
                </c:pt>
                <c:pt idx="234">
                  <c:v>23924</c:v>
                </c:pt>
                <c:pt idx="235">
                  <c:v>23955</c:v>
                </c:pt>
                <c:pt idx="236">
                  <c:v>23986</c:v>
                </c:pt>
                <c:pt idx="237">
                  <c:v>24016</c:v>
                </c:pt>
                <c:pt idx="238">
                  <c:v>24047</c:v>
                </c:pt>
                <c:pt idx="239">
                  <c:v>24077</c:v>
                </c:pt>
                <c:pt idx="240">
                  <c:v>24108</c:v>
                </c:pt>
                <c:pt idx="241">
                  <c:v>24139</c:v>
                </c:pt>
                <c:pt idx="242">
                  <c:v>24167</c:v>
                </c:pt>
                <c:pt idx="243">
                  <c:v>24198</c:v>
                </c:pt>
                <c:pt idx="244">
                  <c:v>24228</c:v>
                </c:pt>
                <c:pt idx="245">
                  <c:v>24259</c:v>
                </c:pt>
                <c:pt idx="246">
                  <c:v>24289</c:v>
                </c:pt>
                <c:pt idx="247">
                  <c:v>24320</c:v>
                </c:pt>
                <c:pt idx="248">
                  <c:v>24351</c:v>
                </c:pt>
                <c:pt idx="249">
                  <c:v>24381</c:v>
                </c:pt>
                <c:pt idx="250">
                  <c:v>24412</c:v>
                </c:pt>
                <c:pt idx="251">
                  <c:v>24442</c:v>
                </c:pt>
                <c:pt idx="252">
                  <c:v>24473</c:v>
                </c:pt>
                <c:pt idx="253">
                  <c:v>24504</c:v>
                </c:pt>
                <c:pt idx="254">
                  <c:v>24532</c:v>
                </c:pt>
                <c:pt idx="255">
                  <c:v>24563</c:v>
                </c:pt>
                <c:pt idx="256">
                  <c:v>24593</c:v>
                </c:pt>
                <c:pt idx="257">
                  <c:v>24624</c:v>
                </c:pt>
                <c:pt idx="258">
                  <c:v>24654</c:v>
                </c:pt>
                <c:pt idx="259">
                  <c:v>24685</c:v>
                </c:pt>
                <c:pt idx="260">
                  <c:v>24716</c:v>
                </c:pt>
                <c:pt idx="261">
                  <c:v>24746</c:v>
                </c:pt>
                <c:pt idx="262">
                  <c:v>24777</c:v>
                </c:pt>
                <c:pt idx="263">
                  <c:v>24807</c:v>
                </c:pt>
                <c:pt idx="264">
                  <c:v>24838</c:v>
                </c:pt>
                <c:pt idx="265">
                  <c:v>24869</c:v>
                </c:pt>
                <c:pt idx="266">
                  <c:v>24898</c:v>
                </c:pt>
                <c:pt idx="267">
                  <c:v>24929</c:v>
                </c:pt>
                <c:pt idx="268">
                  <c:v>24959</c:v>
                </c:pt>
                <c:pt idx="269">
                  <c:v>24990</c:v>
                </c:pt>
                <c:pt idx="270">
                  <c:v>25020</c:v>
                </c:pt>
                <c:pt idx="271">
                  <c:v>25051</c:v>
                </c:pt>
                <c:pt idx="272">
                  <c:v>25082</c:v>
                </c:pt>
                <c:pt idx="273">
                  <c:v>25112</c:v>
                </c:pt>
                <c:pt idx="274">
                  <c:v>25143</c:v>
                </c:pt>
                <c:pt idx="275">
                  <c:v>25173</c:v>
                </c:pt>
                <c:pt idx="276">
                  <c:v>25204</c:v>
                </c:pt>
                <c:pt idx="277">
                  <c:v>25235</c:v>
                </c:pt>
                <c:pt idx="278">
                  <c:v>25263</c:v>
                </c:pt>
                <c:pt idx="279">
                  <c:v>25294</c:v>
                </c:pt>
                <c:pt idx="280">
                  <c:v>25324</c:v>
                </c:pt>
                <c:pt idx="281">
                  <c:v>25355</c:v>
                </c:pt>
                <c:pt idx="282">
                  <c:v>25385</c:v>
                </c:pt>
                <c:pt idx="283">
                  <c:v>25416</c:v>
                </c:pt>
                <c:pt idx="284">
                  <c:v>25447</c:v>
                </c:pt>
                <c:pt idx="285">
                  <c:v>25477</c:v>
                </c:pt>
                <c:pt idx="286">
                  <c:v>25508</c:v>
                </c:pt>
                <c:pt idx="287">
                  <c:v>25538</c:v>
                </c:pt>
                <c:pt idx="288">
                  <c:v>25569</c:v>
                </c:pt>
                <c:pt idx="289">
                  <c:v>25600</c:v>
                </c:pt>
                <c:pt idx="290">
                  <c:v>25628</c:v>
                </c:pt>
                <c:pt idx="291">
                  <c:v>25659</c:v>
                </c:pt>
                <c:pt idx="292">
                  <c:v>25689</c:v>
                </c:pt>
                <c:pt idx="293">
                  <c:v>25720</c:v>
                </c:pt>
                <c:pt idx="294">
                  <c:v>25750</c:v>
                </c:pt>
                <c:pt idx="295">
                  <c:v>25781</c:v>
                </c:pt>
                <c:pt idx="296">
                  <c:v>25812</c:v>
                </c:pt>
                <c:pt idx="297">
                  <c:v>25842</c:v>
                </c:pt>
                <c:pt idx="298">
                  <c:v>25873</c:v>
                </c:pt>
                <c:pt idx="299">
                  <c:v>25903</c:v>
                </c:pt>
                <c:pt idx="300">
                  <c:v>25934</c:v>
                </c:pt>
                <c:pt idx="301">
                  <c:v>25965</c:v>
                </c:pt>
                <c:pt idx="302">
                  <c:v>25993</c:v>
                </c:pt>
                <c:pt idx="303">
                  <c:v>26024</c:v>
                </c:pt>
                <c:pt idx="304">
                  <c:v>26054</c:v>
                </c:pt>
                <c:pt idx="305">
                  <c:v>26085</c:v>
                </c:pt>
                <c:pt idx="306">
                  <c:v>26115</c:v>
                </c:pt>
                <c:pt idx="307">
                  <c:v>26146</c:v>
                </c:pt>
                <c:pt idx="308">
                  <c:v>26177</c:v>
                </c:pt>
                <c:pt idx="309">
                  <c:v>26207</c:v>
                </c:pt>
                <c:pt idx="310">
                  <c:v>26238</c:v>
                </c:pt>
                <c:pt idx="311">
                  <c:v>26268</c:v>
                </c:pt>
                <c:pt idx="312">
                  <c:v>26299</c:v>
                </c:pt>
                <c:pt idx="313">
                  <c:v>26330</c:v>
                </c:pt>
                <c:pt idx="314">
                  <c:v>26359</c:v>
                </c:pt>
                <c:pt idx="315">
                  <c:v>26390</c:v>
                </c:pt>
                <c:pt idx="316">
                  <c:v>26420</c:v>
                </c:pt>
                <c:pt idx="317">
                  <c:v>26451</c:v>
                </c:pt>
                <c:pt idx="318">
                  <c:v>26481</c:v>
                </c:pt>
                <c:pt idx="319">
                  <c:v>26512</c:v>
                </c:pt>
                <c:pt idx="320">
                  <c:v>26543</c:v>
                </c:pt>
                <c:pt idx="321">
                  <c:v>26573</c:v>
                </c:pt>
                <c:pt idx="322">
                  <c:v>26604</c:v>
                </c:pt>
                <c:pt idx="323">
                  <c:v>26634</c:v>
                </c:pt>
                <c:pt idx="324">
                  <c:v>26665</c:v>
                </c:pt>
                <c:pt idx="325">
                  <c:v>26696</c:v>
                </c:pt>
                <c:pt idx="326">
                  <c:v>26724</c:v>
                </c:pt>
                <c:pt idx="327">
                  <c:v>26755</c:v>
                </c:pt>
                <c:pt idx="328">
                  <c:v>26785</c:v>
                </c:pt>
                <c:pt idx="329">
                  <c:v>26816</c:v>
                </c:pt>
                <c:pt idx="330">
                  <c:v>26846</c:v>
                </c:pt>
                <c:pt idx="331">
                  <c:v>26877</c:v>
                </c:pt>
                <c:pt idx="332">
                  <c:v>26908</c:v>
                </c:pt>
                <c:pt idx="333">
                  <c:v>26938</c:v>
                </c:pt>
                <c:pt idx="334">
                  <c:v>26969</c:v>
                </c:pt>
                <c:pt idx="335">
                  <c:v>26999</c:v>
                </c:pt>
                <c:pt idx="336">
                  <c:v>27030</c:v>
                </c:pt>
                <c:pt idx="337">
                  <c:v>27061</c:v>
                </c:pt>
                <c:pt idx="338">
                  <c:v>27089</c:v>
                </c:pt>
                <c:pt idx="339">
                  <c:v>27120</c:v>
                </c:pt>
                <c:pt idx="340">
                  <c:v>27150</c:v>
                </c:pt>
                <c:pt idx="341">
                  <c:v>27181</c:v>
                </c:pt>
                <c:pt idx="342">
                  <c:v>27211</c:v>
                </c:pt>
                <c:pt idx="343">
                  <c:v>27242</c:v>
                </c:pt>
                <c:pt idx="344">
                  <c:v>27273</c:v>
                </c:pt>
                <c:pt idx="345">
                  <c:v>27303</c:v>
                </c:pt>
                <c:pt idx="346">
                  <c:v>27334</c:v>
                </c:pt>
                <c:pt idx="347">
                  <c:v>27364</c:v>
                </c:pt>
                <c:pt idx="348">
                  <c:v>27395</c:v>
                </c:pt>
                <c:pt idx="349">
                  <c:v>27426</c:v>
                </c:pt>
                <c:pt idx="350">
                  <c:v>27454</c:v>
                </c:pt>
                <c:pt idx="351">
                  <c:v>27485</c:v>
                </c:pt>
                <c:pt idx="352">
                  <c:v>27515</c:v>
                </c:pt>
                <c:pt idx="353">
                  <c:v>27546</c:v>
                </c:pt>
                <c:pt idx="354">
                  <c:v>27576</c:v>
                </c:pt>
                <c:pt idx="355">
                  <c:v>27607</c:v>
                </c:pt>
                <c:pt idx="356">
                  <c:v>27638</c:v>
                </c:pt>
                <c:pt idx="357">
                  <c:v>27668</c:v>
                </c:pt>
                <c:pt idx="358">
                  <c:v>27699</c:v>
                </c:pt>
                <c:pt idx="359">
                  <c:v>27729</c:v>
                </c:pt>
                <c:pt idx="360">
                  <c:v>27760</c:v>
                </c:pt>
                <c:pt idx="361">
                  <c:v>27791</c:v>
                </c:pt>
                <c:pt idx="362">
                  <c:v>27820</c:v>
                </c:pt>
                <c:pt idx="363">
                  <c:v>27851</c:v>
                </c:pt>
                <c:pt idx="364">
                  <c:v>27881</c:v>
                </c:pt>
                <c:pt idx="365">
                  <c:v>27912</c:v>
                </c:pt>
                <c:pt idx="366">
                  <c:v>27942</c:v>
                </c:pt>
                <c:pt idx="367">
                  <c:v>27973</c:v>
                </c:pt>
                <c:pt idx="368">
                  <c:v>28004</c:v>
                </c:pt>
                <c:pt idx="369">
                  <c:v>28034</c:v>
                </c:pt>
                <c:pt idx="370">
                  <c:v>28065</c:v>
                </c:pt>
                <c:pt idx="371">
                  <c:v>28095</c:v>
                </c:pt>
                <c:pt idx="372">
                  <c:v>28126</c:v>
                </c:pt>
                <c:pt idx="373">
                  <c:v>28157</c:v>
                </c:pt>
                <c:pt idx="374">
                  <c:v>28185</c:v>
                </c:pt>
                <c:pt idx="375">
                  <c:v>28216</c:v>
                </c:pt>
                <c:pt idx="376">
                  <c:v>28246</c:v>
                </c:pt>
                <c:pt idx="377">
                  <c:v>28277</c:v>
                </c:pt>
                <c:pt idx="378">
                  <c:v>28307</c:v>
                </c:pt>
                <c:pt idx="379">
                  <c:v>28338</c:v>
                </c:pt>
                <c:pt idx="380">
                  <c:v>28369</c:v>
                </c:pt>
                <c:pt idx="381">
                  <c:v>28399</c:v>
                </c:pt>
                <c:pt idx="382">
                  <c:v>28430</c:v>
                </c:pt>
                <c:pt idx="383">
                  <c:v>28460</c:v>
                </c:pt>
                <c:pt idx="384">
                  <c:v>28491</c:v>
                </c:pt>
                <c:pt idx="385">
                  <c:v>28522</c:v>
                </c:pt>
                <c:pt idx="386">
                  <c:v>28550</c:v>
                </c:pt>
                <c:pt idx="387">
                  <c:v>28581</c:v>
                </c:pt>
                <c:pt idx="388">
                  <c:v>28611</c:v>
                </c:pt>
                <c:pt idx="389">
                  <c:v>28642</c:v>
                </c:pt>
                <c:pt idx="390">
                  <c:v>28672</c:v>
                </c:pt>
                <c:pt idx="391">
                  <c:v>28703</c:v>
                </c:pt>
                <c:pt idx="392">
                  <c:v>28734</c:v>
                </c:pt>
                <c:pt idx="393">
                  <c:v>28764</c:v>
                </c:pt>
                <c:pt idx="394">
                  <c:v>28795</c:v>
                </c:pt>
                <c:pt idx="395">
                  <c:v>28825</c:v>
                </c:pt>
                <c:pt idx="396">
                  <c:v>28856</c:v>
                </c:pt>
                <c:pt idx="397">
                  <c:v>28887</c:v>
                </c:pt>
                <c:pt idx="398">
                  <c:v>28915</c:v>
                </c:pt>
                <c:pt idx="399">
                  <c:v>28946</c:v>
                </c:pt>
                <c:pt idx="400">
                  <c:v>28976</c:v>
                </c:pt>
                <c:pt idx="401">
                  <c:v>29007</c:v>
                </c:pt>
                <c:pt idx="402">
                  <c:v>29037</c:v>
                </c:pt>
                <c:pt idx="403">
                  <c:v>29068</c:v>
                </c:pt>
                <c:pt idx="404">
                  <c:v>29099</c:v>
                </c:pt>
                <c:pt idx="405">
                  <c:v>29129</c:v>
                </c:pt>
                <c:pt idx="406">
                  <c:v>29160</c:v>
                </c:pt>
                <c:pt idx="407">
                  <c:v>29190</c:v>
                </c:pt>
                <c:pt idx="408">
                  <c:v>29221</c:v>
                </c:pt>
                <c:pt idx="409">
                  <c:v>29252</c:v>
                </c:pt>
                <c:pt idx="410">
                  <c:v>29281</c:v>
                </c:pt>
                <c:pt idx="411">
                  <c:v>29312</c:v>
                </c:pt>
                <c:pt idx="412">
                  <c:v>29342</c:v>
                </c:pt>
                <c:pt idx="413">
                  <c:v>29373</c:v>
                </c:pt>
                <c:pt idx="414">
                  <c:v>29403</c:v>
                </c:pt>
                <c:pt idx="415">
                  <c:v>29434</c:v>
                </c:pt>
                <c:pt idx="416">
                  <c:v>29465</c:v>
                </c:pt>
                <c:pt idx="417">
                  <c:v>29495</c:v>
                </c:pt>
                <c:pt idx="418">
                  <c:v>29526</c:v>
                </c:pt>
                <c:pt idx="419">
                  <c:v>29556</c:v>
                </c:pt>
                <c:pt idx="420">
                  <c:v>29587</c:v>
                </c:pt>
                <c:pt idx="421">
                  <c:v>29618</c:v>
                </c:pt>
                <c:pt idx="422">
                  <c:v>29646</c:v>
                </c:pt>
                <c:pt idx="423">
                  <c:v>29677</c:v>
                </c:pt>
                <c:pt idx="424">
                  <c:v>29707</c:v>
                </c:pt>
                <c:pt idx="425">
                  <c:v>29738</c:v>
                </c:pt>
                <c:pt idx="426">
                  <c:v>29768</c:v>
                </c:pt>
                <c:pt idx="427">
                  <c:v>29799</c:v>
                </c:pt>
                <c:pt idx="428">
                  <c:v>29830</c:v>
                </c:pt>
                <c:pt idx="429">
                  <c:v>29860</c:v>
                </c:pt>
                <c:pt idx="430">
                  <c:v>29891</c:v>
                </c:pt>
                <c:pt idx="431">
                  <c:v>29921</c:v>
                </c:pt>
                <c:pt idx="432">
                  <c:v>29952</c:v>
                </c:pt>
                <c:pt idx="433">
                  <c:v>29983</c:v>
                </c:pt>
                <c:pt idx="434">
                  <c:v>30011</c:v>
                </c:pt>
                <c:pt idx="435">
                  <c:v>30042</c:v>
                </c:pt>
                <c:pt idx="436">
                  <c:v>30072</c:v>
                </c:pt>
                <c:pt idx="437">
                  <c:v>30103</c:v>
                </c:pt>
                <c:pt idx="438">
                  <c:v>30133</c:v>
                </c:pt>
                <c:pt idx="439">
                  <c:v>30164</c:v>
                </c:pt>
                <c:pt idx="440">
                  <c:v>30195</c:v>
                </c:pt>
                <c:pt idx="441">
                  <c:v>30225</c:v>
                </c:pt>
                <c:pt idx="442">
                  <c:v>30256</c:v>
                </c:pt>
                <c:pt idx="443">
                  <c:v>30286</c:v>
                </c:pt>
                <c:pt idx="444">
                  <c:v>30317</c:v>
                </c:pt>
                <c:pt idx="445">
                  <c:v>30348</c:v>
                </c:pt>
                <c:pt idx="446">
                  <c:v>30376</c:v>
                </c:pt>
                <c:pt idx="447">
                  <c:v>30407</c:v>
                </c:pt>
                <c:pt idx="448">
                  <c:v>30437</c:v>
                </c:pt>
                <c:pt idx="449">
                  <c:v>30468</c:v>
                </c:pt>
                <c:pt idx="450">
                  <c:v>30498</c:v>
                </c:pt>
                <c:pt idx="451">
                  <c:v>30529</c:v>
                </c:pt>
                <c:pt idx="452">
                  <c:v>30560</c:v>
                </c:pt>
                <c:pt idx="453">
                  <c:v>30590</c:v>
                </c:pt>
                <c:pt idx="454">
                  <c:v>30621</c:v>
                </c:pt>
                <c:pt idx="455">
                  <c:v>30651</c:v>
                </c:pt>
                <c:pt idx="456">
                  <c:v>30682</c:v>
                </c:pt>
                <c:pt idx="457">
                  <c:v>30713</c:v>
                </c:pt>
                <c:pt idx="458">
                  <c:v>30742</c:v>
                </c:pt>
                <c:pt idx="459">
                  <c:v>30773</c:v>
                </c:pt>
                <c:pt idx="460">
                  <c:v>30803</c:v>
                </c:pt>
                <c:pt idx="461">
                  <c:v>30834</c:v>
                </c:pt>
                <c:pt idx="462">
                  <c:v>30864</c:v>
                </c:pt>
                <c:pt idx="463">
                  <c:v>30895</c:v>
                </c:pt>
                <c:pt idx="464">
                  <c:v>30926</c:v>
                </c:pt>
                <c:pt idx="465">
                  <c:v>30956</c:v>
                </c:pt>
                <c:pt idx="466">
                  <c:v>30987</c:v>
                </c:pt>
                <c:pt idx="467">
                  <c:v>31017</c:v>
                </c:pt>
                <c:pt idx="468">
                  <c:v>31048</c:v>
                </c:pt>
                <c:pt idx="469">
                  <c:v>31079</c:v>
                </c:pt>
                <c:pt idx="470">
                  <c:v>31107</c:v>
                </c:pt>
                <c:pt idx="471">
                  <c:v>31138</c:v>
                </c:pt>
                <c:pt idx="472">
                  <c:v>31168</c:v>
                </c:pt>
                <c:pt idx="473">
                  <c:v>31199</c:v>
                </c:pt>
                <c:pt idx="474">
                  <c:v>31229</c:v>
                </c:pt>
                <c:pt idx="475">
                  <c:v>31260</c:v>
                </c:pt>
                <c:pt idx="476">
                  <c:v>31291</c:v>
                </c:pt>
                <c:pt idx="477">
                  <c:v>31321</c:v>
                </c:pt>
                <c:pt idx="478">
                  <c:v>31352</c:v>
                </c:pt>
                <c:pt idx="479">
                  <c:v>31382</c:v>
                </c:pt>
                <c:pt idx="480">
                  <c:v>31413</c:v>
                </c:pt>
                <c:pt idx="481">
                  <c:v>31444</c:v>
                </c:pt>
                <c:pt idx="482">
                  <c:v>31472</c:v>
                </c:pt>
                <c:pt idx="483">
                  <c:v>31503</c:v>
                </c:pt>
                <c:pt idx="484">
                  <c:v>31533</c:v>
                </c:pt>
                <c:pt idx="485">
                  <c:v>31564</c:v>
                </c:pt>
                <c:pt idx="486">
                  <c:v>31594</c:v>
                </c:pt>
                <c:pt idx="487">
                  <c:v>31625</c:v>
                </c:pt>
                <c:pt idx="488">
                  <c:v>31656</c:v>
                </c:pt>
                <c:pt idx="489">
                  <c:v>31686</c:v>
                </c:pt>
                <c:pt idx="490">
                  <c:v>31717</c:v>
                </c:pt>
                <c:pt idx="491">
                  <c:v>31747</c:v>
                </c:pt>
                <c:pt idx="492">
                  <c:v>31778</c:v>
                </c:pt>
                <c:pt idx="493">
                  <c:v>31809</c:v>
                </c:pt>
                <c:pt idx="494">
                  <c:v>31837</c:v>
                </c:pt>
                <c:pt idx="495">
                  <c:v>31868</c:v>
                </c:pt>
                <c:pt idx="496">
                  <c:v>31898</c:v>
                </c:pt>
                <c:pt idx="497">
                  <c:v>31929</c:v>
                </c:pt>
                <c:pt idx="498">
                  <c:v>31959</c:v>
                </c:pt>
                <c:pt idx="499">
                  <c:v>31990</c:v>
                </c:pt>
                <c:pt idx="500">
                  <c:v>32021</c:v>
                </c:pt>
                <c:pt idx="501">
                  <c:v>32051</c:v>
                </c:pt>
                <c:pt idx="502">
                  <c:v>32082</c:v>
                </c:pt>
                <c:pt idx="503">
                  <c:v>32112</c:v>
                </c:pt>
                <c:pt idx="504">
                  <c:v>32143</c:v>
                </c:pt>
                <c:pt idx="505">
                  <c:v>32174</c:v>
                </c:pt>
                <c:pt idx="506">
                  <c:v>32203</c:v>
                </c:pt>
                <c:pt idx="507">
                  <c:v>32234</c:v>
                </c:pt>
                <c:pt idx="508">
                  <c:v>32264</c:v>
                </c:pt>
                <c:pt idx="509">
                  <c:v>32295</c:v>
                </c:pt>
                <c:pt idx="510">
                  <c:v>32325</c:v>
                </c:pt>
                <c:pt idx="511">
                  <c:v>32356</c:v>
                </c:pt>
                <c:pt idx="512">
                  <c:v>32387</c:v>
                </c:pt>
                <c:pt idx="513">
                  <c:v>32417</c:v>
                </c:pt>
                <c:pt idx="514">
                  <c:v>32448</c:v>
                </c:pt>
                <c:pt idx="515">
                  <c:v>32478</c:v>
                </c:pt>
                <c:pt idx="516">
                  <c:v>32509</c:v>
                </c:pt>
                <c:pt idx="517">
                  <c:v>32540</c:v>
                </c:pt>
                <c:pt idx="518">
                  <c:v>32568</c:v>
                </c:pt>
                <c:pt idx="519">
                  <c:v>32599</c:v>
                </c:pt>
                <c:pt idx="520">
                  <c:v>32629</c:v>
                </c:pt>
                <c:pt idx="521">
                  <c:v>32660</c:v>
                </c:pt>
                <c:pt idx="522">
                  <c:v>32690</c:v>
                </c:pt>
                <c:pt idx="523">
                  <c:v>32721</c:v>
                </c:pt>
                <c:pt idx="524">
                  <c:v>32752</c:v>
                </c:pt>
                <c:pt idx="525">
                  <c:v>32782</c:v>
                </c:pt>
                <c:pt idx="526">
                  <c:v>32813</c:v>
                </c:pt>
                <c:pt idx="527">
                  <c:v>32843</c:v>
                </c:pt>
                <c:pt idx="528">
                  <c:v>32874</c:v>
                </c:pt>
                <c:pt idx="529">
                  <c:v>32905</c:v>
                </c:pt>
                <c:pt idx="530">
                  <c:v>32933</c:v>
                </c:pt>
                <c:pt idx="531">
                  <c:v>32964</c:v>
                </c:pt>
                <c:pt idx="532">
                  <c:v>32994</c:v>
                </c:pt>
                <c:pt idx="533">
                  <c:v>33025</c:v>
                </c:pt>
                <c:pt idx="534">
                  <c:v>33055</c:v>
                </c:pt>
                <c:pt idx="535">
                  <c:v>33086</c:v>
                </c:pt>
                <c:pt idx="536">
                  <c:v>33117</c:v>
                </c:pt>
                <c:pt idx="537">
                  <c:v>33147</c:v>
                </c:pt>
                <c:pt idx="538">
                  <c:v>33178</c:v>
                </c:pt>
                <c:pt idx="539">
                  <c:v>33208</c:v>
                </c:pt>
                <c:pt idx="540">
                  <c:v>33239</c:v>
                </c:pt>
                <c:pt idx="541">
                  <c:v>33270</c:v>
                </c:pt>
                <c:pt idx="542">
                  <c:v>33298</c:v>
                </c:pt>
                <c:pt idx="543">
                  <c:v>33329</c:v>
                </c:pt>
                <c:pt idx="544">
                  <c:v>33359</c:v>
                </c:pt>
                <c:pt idx="545">
                  <c:v>33390</c:v>
                </c:pt>
                <c:pt idx="546">
                  <c:v>33420</c:v>
                </c:pt>
                <c:pt idx="547">
                  <c:v>33451</c:v>
                </c:pt>
                <c:pt idx="548">
                  <c:v>33482</c:v>
                </c:pt>
                <c:pt idx="549">
                  <c:v>33512</c:v>
                </c:pt>
                <c:pt idx="550">
                  <c:v>33543</c:v>
                </c:pt>
                <c:pt idx="551">
                  <c:v>33573</c:v>
                </c:pt>
                <c:pt idx="552">
                  <c:v>33604</c:v>
                </c:pt>
                <c:pt idx="553">
                  <c:v>33635</c:v>
                </c:pt>
                <c:pt idx="554">
                  <c:v>33664</c:v>
                </c:pt>
                <c:pt idx="555">
                  <c:v>33695</c:v>
                </c:pt>
                <c:pt idx="556">
                  <c:v>33725</c:v>
                </c:pt>
                <c:pt idx="557">
                  <c:v>33756</c:v>
                </c:pt>
                <c:pt idx="558">
                  <c:v>33786</c:v>
                </c:pt>
                <c:pt idx="559">
                  <c:v>33817</c:v>
                </c:pt>
                <c:pt idx="560">
                  <c:v>33848</c:v>
                </c:pt>
                <c:pt idx="561">
                  <c:v>33878</c:v>
                </c:pt>
                <c:pt idx="562">
                  <c:v>33909</c:v>
                </c:pt>
                <c:pt idx="563">
                  <c:v>33939</c:v>
                </c:pt>
                <c:pt idx="564">
                  <c:v>33970</c:v>
                </c:pt>
                <c:pt idx="565">
                  <c:v>34001</c:v>
                </c:pt>
                <c:pt idx="566">
                  <c:v>34029</c:v>
                </c:pt>
                <c:pt idx="567">
                  <c:v>34060</c:v>
                </c:pt>
                <c:pt idx="568">
                  <c:v>34090</c:v>
                </c:pt>
                <c:pt idx="569">
                  <c:v>34121</c:v>
                </c:pt>
                <c:pt idx="570">
                  <c:v>34151</c:v>
                </c:pt>
                <c:pt idx="571">
                  <c:v>34182</c:v>
                </c:pt>
                <c:pt idx="572">
                  <c:v>34213</c:v>
                </c:pt>
                <c:pt idx="573">
                  <c:v>34243</c:v>
                </c:pt>
                <c:pt idx="574">
                  <c:v>34274</c:v>
                </c:pt>
                <c:pt idx="575">
                  <c:v>34304</c:v>
                </c:pt>
                <c:pt idx="576">
                  <c:v>34335</c:v>
                </c:pt>
                <c:pt idx="577">
                  <c:v>34366</c:v>
                </c:pt>
                <c:pt idx="578">
                  <c:v>34394</c:v>
                </c:pt>
                <c:pt idx="579">
                  <c:v>34425</c:v>
                </c:pt>
                <c:pt idx="580">
                  <c:v>34455</c:v>
                </c:pt>
                <c:pt idx="581">
                  <c:v>34486</c:v>
                </c:pt>
                <c:pt idx="582">
                  <c:v>34516</c:v>
                </c:pt>
                <c:pt idx="583">
                  <c:v>34547</c:v>
                </c:pt>
                <c:pt idx="584">
                  <c:v>34578</c:v>
                </c:pt>
                <c:pt idx="585">
                  <c:v>34608</c:v>
                </c:pt>
                <c:pt idx="586">
                  <c:v>34639</c:v>
                </c:pt>
                <c:pt idx="587">
                  <c:v>34669</c:v>
                </c:pt>
                <c:pt idx="588">
                  <c:v>34700</c:v>
                </c:pt>
                <c:pt idx="589">
                  <c:v>34731</c:v>
                </c:pt>
                <c:pt idx="590">
                  <c:v>34759</c:v>
                </c:pt>
                <c:pt idx="591">
                  <c:v>34790</c:v>
                </c:pt>
                <c:pt idx="592">
                  <c:v>34820</c:v>
                </c:pt>
                <c:pt idx="593">
                  <c:v>34851</c:v>
                </c:pt>
                <c:pt idx="594">
                  <c:v>34881</c:v>
                </c:pt>
                <c:pt idx="595">
                  <c:v>34912</c:v>
                </c:pt>
                <c:pt idx="596">
                  <c:v>34943</c:v>
                </c:pt>
                <c:pt idx="597">
                  <c:v>34973</c:v>
                </c:pt>
                <c:pt idx="598">
                  <c:v>35004</c:v>
                </c:pt>
                <c:pt idx="599">
                  <c:v>35034</c:v>
                </c:pt>
                <c:pt idx="600">
                  <c:v>35065</c:v>
                </c:pt>
                <c:pt idx="601">
                  <c:v>35096</c:v>
                </c:pt>
                <c:pt idx="602">
                  <c:v>35125</c:v>
                </c:pt>
                <c:pt idx="603">
                  <c:v>35156</c:v>
                </c:pt>
                <c:pt idx="604">
                  <c:v>35186</c:v>
                </c:pt>
                <c:pt idx="605">
                  <c:v>35217</c:v>
                </c:pt>
                <c:pt idx="606">
                  <c:v>35247</c:v>
                </c:pt>
                <c:pt idx="607">
                  <c:v>35278</c:v>
                </c:pt>
                <c:pt idx="608">
                  <c:v>35309</c:v>
                </c:pt>
                <c:pt idx="609">
                  <c:v>35339</c:v>
                </c:pt>
                <c:pt idx="610">
                  <c:v>35370</c:v>
                </c:pt>
                <c:pt idx="611">
                  <c:v>35400</c:v>
                </c:pt>
                <c:pt idx="612">
                  <c:v>35431</c:v>
                </c:pt>
                <c:pt idx="613">
                  <c:v>35462</c:v>
                </c:pt>
                <c:pt idx="614">
                  <c:v>35490</c:v>
                </c:pt>
                <c:pt idx="615">
                  <c:v>35521</c:v>
                </c:pt>
                <c:pt idx="616">
                  <c:v>35551</c:v>
                </c:pt>
                <c:pt idx="617">
                  <c:v>35582</c:v>
                </c:pt>
                <c:pt idx="618">
                  <c:v>35612</c:v>
                </c:pt>
                <c:pt idx="619">
                  <c:v>35643</c:v>
                </c:pt>
                <c:pt idx="620">
                  <c:v>35674</c:v>
                </c:pt>
                <c:pt idx="621">
                  <c:v>35704</c:v>
                </c:pt>
                <c:pt idx="622">
                  <c:v>35735</c:v>
                </c:pt>
                <c:pt idx="623">
                  <c:v>35765</c:v>
                </c:pt>
                <c:pt idx="624">
                  <c:v>35796</c:v>
                </c:pt>
                <c:pt idx="625">
                  <c:v>35827</c:v>
                </c:pt>
                <c:pt idx="626">
                  <c:v>35855</c:v>
                </c:pt>
                <c:pt idx="627">
                  <c:v>35886</c:v>
                </c:pt>
                <c:pt idx="628">
                  <c:v>35916</c:v>
                </c:pt>
                <c:pt idx="629">
                  <c:v>35947</c:v>
                </c:pt>
                <c:pt idx="630">
                  <c:v>35977</c:v>
                </c:pt>
                <c:pt idx="631">
                  <c:v>36008</c:v>
                </c:pt>
                <c:pt idx="632">
                  <c:v>36039</c:v>
                </c:pt>
                <c:pt idx="633">
                  <c:v>36069</c:v>
                </c:pt>
                <c:pt idx="634">
                  <c:v>36100</c:v>
                </c:pt>
                <c:pt idx="635">
                  <c:v>36130</c:v>
                </c:pt>
                <c:pt idx="636">
                  <c:v>36161</c:v>
                </c:pt>
                <c:pt idx="637">
                  <c:v>36192</c:v>
                </c:pt>
                <c:pt idx="638">
                  <c:v>36220</c:v>
                </c:pt>
                <c:pt idx="639">
                  <c:v>36251</c:v>
                </c:pt>
                <c:pt idx="640">
                  <c:v>36281</c:v>
                </c:pt>
                <c:pt idx="641">
                  <c:v>36312</c:v>
                </c:pt>
                <c:pt idx="642">
                  <c:v>36342</c:v>
                </c:pt>
                <c:pt idx="643">
                  <c:v>36373</c:v>
                </c:pt>
                <c:pt idx="644">
                  <c:v>36404</c:v>
                </c:pt>
                <c:pt idx="645">
                  <c:v>36434</c:v>
                </c:pt>
                <c:pt idx="646">
                  <c:v>36465</c:v>
                </c:pt>
                <c:pt idx="647">
                  <c:v>36495</c:v>
                </c:pt>
                <c:pt idx="648">
                  <c:v>36526</c:v>
                </c:pt>
                <c:pt idx="649">
                  <c:v>36557</c:v>
                </c:pt>
                <c:pt idx="650">
                  <c:v>36586</c:v>
                </c:pt>
                <c:pt idx="651">
                  <c:v>36617</c:v>
                </c:pt>
                <c:pt idx="652">
                  <c:v>36647</c:v>
                </c:pt>
                <c:pt idx="653">
                  <c:v>36678</c:v>
                </c:pt>
                <c:pt idx="654">
                  <c:v>36708</c:v>
                </c:pt>
                <c:pt idx="655">
                  <c:v>36739</c:v>
                </c:pt>
                <c:pt idx="656">
                  <c:v>36770</c:v>
                </c:pt>
                <c:pt idx="657">
                  <c:v>36800</c:v>
                </c:pt>
                <c:pt idx="658">
                  <c:v>36831</c:v>
                </c:pt>
                <c:pt idx="659">
                  <c:v>36861</c:v>
                </c:pt>
                <c:pt idx="660">
                  <c:v>36892</c:v>
                </c:pt>
                <c:pt idx="661">
                  <c:v>36923</c:v>
                </c:pt>
                <c:pt idx="662">
                  <c:v>36951</c:v>
                </c:pt>
                <c:pt idx="663">
                  <c:v>36982</c:v>
                </c:pt>
                <c:pt idx="664">
                  <c:v>37012</c:v>
                </c:pt>
                <c:pt idx="665">
                  <c:v>37043</c:v>
                </c:pt>
                <c:pt idx="666">
                  <c:v>37073</c:v>
                </c:pt>
                <c:pt idx="667">
                  <c:v>37104</c:v>
                </c:pt>
                <c:pt idx="668">
                  <c:v>37135</c:v>
                </c:pt>
                <c:pt idx="669">
                  <c:v>37165</c:v>
                </c:pt>
                <c:pt idx="670">
                  <c:v>37196</c:v>
                </c:pt>
                <c:pt idx="671">
                  <c:v>37226</c:v>
                </c:pt>
                <c:pt idx="672">
                  <c:v>37257</c:v>
                </c:pt>
                <c:pt idx="673">
                  <c:v>37288</c:v>
                </c:pt>
                <c:pt idx="674">
                  <c:v>37316</c:v>
                </c:pt>
                <c:pt idx="675">
                  <c:v>37347</c:v>
                </c:pt>
                <c:pt idx="676">
                  <c:v>37377</c:v>
                </c:pt>
                <c:pt idx="677">
                  <c:v>37408</c:v>
                </c:pt>
                <c:pt idx="678">
                  <c:v>37438</c:v>
                </c:pt>
                <c:pt idx="679">
                  <c:v>37469</c:v>
                </c:pt>
                <c:pt idx="680">
                  <c:v>37500</c:v>
                </c:pt>
                <c:pt idx="681">
                  <c:v>37530</c:v>
                </c:pt>
                <c:pt idx="682">
                  <c:v>37561</c:v>
                </c:pt>
                <c:pt idx="683">
                  <c:v>37591</c:v>
                </c:pt>
                <c:pt idx="684">
                  <c:v>37622</c:v>
                </c:pt>
                <c:pt idx="685">
                  <c:v>37653</c:v>
                </c:pt>
                <c:pt idx="686">
                  <c:v>37681</c:v>
                </c:pt>
                <c:pt idx="687">
                  <c:v>37712</c:v>
                </c:pt>
                <c:pt idx="688">
                  <c:v>37742</c:v>
                </c:pt>
                <c:pt idx="689">
                  <c:v>37773</c:v>
                </c:pt>
                <c:pt idx="690">
                  <c:v>37803</c:v>
                </c:pt>
                <c:pt idx="691">
                  <c:v>37834</c:v>
                </c:pt>
                <c:pt idx="692">
                  <c:v>37865</c:v>
                </c:pt>
                <c:pt idx="693">
                  <c:v>37895</c:v>
                </c:pt>
                <c:pt idx="694">
                  <c:v>37926</c:v>
                </c:pt>
                <c:pt idx="695">
                  <c:v>37956</c:v>
                </c:pt>
                <c:pt idx="696">
                  <c:v>37987</c:v>
                </c:pt>
                <c:pt idx="697">
                  <c:v>38018</c:v>
                </c:pt>
                <c:pt idx="698">
                  <c:v>38047</c:v>
                </c:pt>
                <c:pt idx="699">
                  <c:v>38078</c:v>
                </c:pt>
                <c:pt idx="700">
                  <c:v>38108</c:v>
                </c:pt>
                <c:pt idx="701">
                  <c:v>38139</c:v>
                </c:pt>
                <c:pt idx="702">
                  <c:v>38169</c:v>
                </c:pt>
                <c:pt idx="703">
                  <c:v>38200</c:v>
                </c:pt>
                <c:pt idx="704">
                  <c:v>38231</c:v>
                </c:pt>
                <c:pt idx="705">
                  <c:v>38261</c:v>
                </c:pt>
                <c:pt idx="706">
                  <c:v>38292</c:v>
                </c:pt>
                <c:pt idx="707">
                  <c:v>38322</c:v>
                </c:pt>
                <c:pt idx="708">
                  <c:v>38353</c:v>
                </c:pt>
                <c:pt idx="709">
                  <c:v>38384</c:v>
                </c:pt>
                <c:pt idx="710">
                  <c:v>38412</c:v>
                </c:pt>
                <c:pt idx="711">
                  <c:v>38443</c:v>
                </c:pt>
                <c:pt idx="712">
                  <c:v>38473</c:v>
                </c:pt>
                <c:pt idx="713">
                  <c:v>38504</c:v>
                </c:pt>
                <c:pt idx="714">
                  <c:v>38534</c:v>
                </c:pt>
                <c:pt idx="715">
                  <c:v>38565</c:v>
                </c:pt>
                <c:pt idx="716">
                  <c:v>38596</c:v>
                </c:pt>
                <c:pt idx="717">
                  <c:v>38626</c:v>
                </c:pt>
                <c:pt idx="718">
                  <c:v>38657</c:v>
                </c:pt>
                <c:pt idx="719">
                  <c:v>38687</c:v>
                </c:pt>
                <c:pt idx="720">
                  <c:v>38718</c:v>
                </c:pt>
                <c:pt idx="721">
                  <c:v>38749</c:v>
                </c:pt>
                <c:pt idx="722">
                  <c:v>38777</c:v>
                </c:pt>
                <c:pt idx="723">
                  <c:v>38808</c:v>
                </c:pt>
                <c:pt idx="724">
                  <c:v>38838</c:v>
                </c:pt>
                <c:pt idx="725">
                  <c:v>38869</c:v>
                </c:pt>
                <c:pt idx="726">
                  <c:v>38899</c:v>
                </c:pt>
                <c:pt idx="727">
                  <c:v>38930</c:v>
                </c:pt>
                <c:pt idx="728">
                  <c:v>38961</c:v>
                </c:pt>
                <c:pt idx="729">
                  <c:v>38991</c:v>
                </c:pt>
                <c:pt idx="730">
                  <c:v>39022</c:v>
                </c:pt>
                <c:pt idx="731">
                  <c:v>39052</c:v>
                </c:pt>
                <c:pt idx="732">
                  <c:v>39083</c:v>
                </c:pt>
                <c:pt idx="733">
                  <c:v>39114</c:v>
                </c:pt>
                <c:pt idx="734">
                  <c:v>39142</c:v>
                </c:pt>
                <c:pt idx="735">
                  <c:v>39173</c:v>
                </c:pt>
                <c:pt idx="736">
                  <c:v>39203</c:v>
                </c:pt>
                <c:pt idx="737">
                  <c:v>39234</c:v>
                </c:pt>
                <c:pt idx="738">
                  <c:v>39264</c:v>
                </c:pt>
                <c:pt idx="739">
                  <c:v>39295</c:v>
                </c:pt>
                <c:pt idx="740">
                  <c:v>39326</c:v>
                </c:pt>
                <c:pt idx="741">
                  <c:v>39356</c:v>
                </c:pt>
                <c:pt idx="742">
                  <c:v>39387</c:v>
                </c:pt>
                <c:pt idx="743">
                  <c:v>39417</c:v>
                </c:pt>
                <c:pt idx="744">
                  <c:v>39448</c:v>
                </c:pt>
                <c:pt idx="745">
                  <c:v>39479</c:v>
                </c:pt>
                <c:pt idx="746">
                  <c:v>39508</c:v>
                </c:pt>
                <c:pt idx="747">
                  <c:v>39539</c:v>
                </c:pt>
                <c:pt idx="748">
                  <c:v>39569</c:v>
                </c:pt>
                <c:pt idx="749">
                  <c:v>39600</c:v>
                </c:pt>
                <c:pt idx="750">
                  <c:v>39630</c:v>
                </c:pt>
                <c:pt idx="751">
                  <c:v>39661</c:v>
                </c:pt>
                <c:pt idx="752">
                  <c:v>39692</c:v>
                </c:pt>
                <c:pt idx="753">
                  <c:v>39722</c:v>
                </c:pt>
                <c:pt idx="754">
                  <c:v>39753</c:v>
                </c:pt>
                <c:pt idx="755">
                  <c:v>39783</c:v>
                </c:pt>
                <c:pt idx="756">
                  <c:v>39814</c:v>
                </c:pt>
                <c:pt idx="757">
                  <c:v>39845</c:v>
                </c:pt>
                <c:pt idx="758">
                  <c:v>39873</c:v>
                </c:pt>
                <c:pt idx="759">
                  <c:v>39904</c:v>
                </c:pt>
                <c:pt idx="760">
                  <c:v>39934</c:v>
                </c:pt>
                <c:pt idx="761">
                  <c:v>39965</c:v>
                </c:pt>
                <c:pt idx="762">
                  <c:v>39995</c:v>
                </c:pt>
                <c:pt idx="763">
                  <c:v>40026</c:v>
                </c:pt>
                <c:pt idx="764">
                  <c:v>40057</c:v>
                </c:pt>
                <c:pt idx="765">
                  <c:v>40087</c:v>
                </c:pt>
                <c:pt idx="766">
                  <c:v>40118</c:v>
                </c:pt>
                <c:pt idx="767">
                  <c:v>40148</c:v>
                </c:pt>
                <c:pt idx="768">
                  <c:v>40179</c:v>
                </c:pt>
                <c:pt idx="769">
                  <c:v>40210</c:v>
                </c:pt>
                <c:pt idx="770">
                  <c:v>40238</c:v>
                </c:pt>
                <c:pt idx="771">
                  <c:v>40269</c:v>
                </c:pt>
                <c:pt idx="772">
                  <c:v>40299</c:v>
                </c:pt>
                <c:pt idx="773">
                  <c:v>40330</c:v>
                </c:pt>
                <c:pt idx="774">
                  <c:v>40360</c:v>
                </c:pt>
                <c:pt idx="775">
                  <c:v>40391</c:v>
                </c:pt>
                <c:pt idx="776">
                  <c:v>40422</c:v>
                </c:pt>
                <c:pt idx="777">
                  <c:v>40452</c:v>
                </c:pt>
                <c:pt idx="778">
                  <c:v>40483</c:v>
                </c:pt>
                <c:pt idx="779">
                  <c:v>40513</c:v>
                </c:pt>
                <c:pt idx="780">
                  <c:v>40544</c:v>
                </c:pt>
                <c:pt idx="781">
                  <c:v>40575</c:v>
                </c:pt>
                <c:pt idx="782">
                  <c:v>40603</c:v>
                </c:pt>
                <c:pt idx="783">
                  <c:v>40634</c:v>
                </c:pt>
                <c:pt idx="784">
                  <c:v>40664</c:v>
                </c:pt>
                <c:pt idx="785">
                  <c:v>40695</c:v>
                </c:pt>
                <c:pt idx="786">
                  <c:v>40725</c:v>
                </c:pt>
                <c:pt idx="787">
                  <c:v>40756</c:v>
                </c:pt>
                <c:pt idx="788">
                  <c:v>40787</c:v>
                </c:pt>
                <c:pt idx="789">
                  <c:v>40817</c:v>
                </c:pt>
                <c:pt idx="790">
                  <c:v>40848</c:v>
                </c:pt>
                <c:pt idx="791">
                  <c:v>40878</c:v>
                </c:pt>
                <c:pt idx="792">
                  <c:v>40909</c:v>
                </c:pt>
                <c:pt idx="793">
                  <c:v>40940</c:v>
                </c:pt>
                <c:pt idx="794">
                  <c:v>40969</c:v>
                </c:pt>
                <c:pt idx="795">
                  <c:v>41000</c:v>
                </c:pt>
                <c:pt idx="796">
                  <c:v>41030</c:v>
                </c:pt>
                <c:pt idx="797">
                  <c:v>41061</c:v>
                </c:pt>
                <c:pt idx="798">
                  <c:v>41091</c:v>
                </c:pt>
                <c:pt idx="799">
                  <c:v>41122</c:v>
                </c:pt>
                <c:pt idx="800">
                  <c:v>41153</c:v>
                </c:pt>
                <c:pt idx="801">
                  <c:v>41183</c:v>
                </c:pt>
                <c:pt idx="802">
                  <c:v>41214</c:v>
                </c:pt>
                <c:pt idx="803">
                  <c:v>41244</c:v>
                </c:pt>
                <c:pt idx="804">
                  <c:v>41275</c:v>
                </c:pt>
                <c:pt idx="805">
                  <c:v>41306</c:v>
                </c:pt>
                <c:pt idx="806">
                  <c:v>41334</c:v>
                </c:pt>
                <c:pt idx="807">
                  <c:v>41365</c:v>
                </c:pt>
                <c:pt idx="808">
                  <c:v>41395</c:v>
                </c:pt>
                <c:pt idx="809">
                  <c:v>41426</c:v>
                </c:pt>
                <c:pt idx="810">
                  <c:v>41456</c:v>
                </c:pt>
                <c:pt idx="811">
                  <c:v>41487</c:v>
                </c:pt>
                <c:pt idx="812">
                  <c:v>41518</c:v>
                </c:pt>
                <c:pt idx="813">
                  <c:v>41548</c:v>
                </c:pt>
                <c:pt idx="814">
                  <c:v>41579</c:v>
                </c:pt>
                <c:pt idx="815">
                  <c:v>41609</c:v>
                </c:pt>
                <c:pt idx="816">
                  <c:v>41640</c:v>
                </c:pt>
                <c:pt idx="817">
                  <c:v>41671</c:v>
                </c:pt>
                <c:pt idx="818">
                  <c:v>41699</c:v>
                </c:pt>
                <c:pt idx="819">
                  <c:v>41730</c:v>
                </c:pt>
                <c:pt idx="820">
                  <c:v>41760</c:v>
                </c:pt>
                <c:pt idx="821">
                  <c:v>41791</c:v>
                </c:pt>
                <c:pt idx="822">
                  <c:v>41821</c:v>
                </c:pt>
                <c:pt idx="823">
                  <c:v>41852</c:v>
                </c:pt>
                <c:pt idx="824">
                  <c:v>41883</c:v>
                </c:pt>
                <c:pt idx="825">
                  <c:v>41913</c:v>
                </c:pt>
                <c:pt idx="826">
                  <c:v>41944</c:v>
                </c:pt>
                <c:pt idx="827">
                  <c:v>41974</c:v>
                </c:pt>
                <c:pt idx="828">
                  <c:v>42005</c:v>
                </c:pt>
                <c:pt idx="829">
                  <c:v>42036</c:v>
                </c:pt>
                <c:pt idx="830">
                  <c:v>42064</c:v>
                </c:pt>
                <c:pt idx="831">
                  <c:v>42095</c:v>
                </c:pt>
                <c:pt idx="832">
                  <c:v>42125</c:v>
                </c:pt>
                <c:pt idx="833">
                  <c:v>42156</c:v>
                </c:pt>
                <c:pt idx="834">
                  <c:v>42186</c:v>
                </c:pt>
                <c:pt idx="835">
                  <c:v>42217</c:v>
                </c:pt>
                <c:pt idx="836">
                  <c:v>42248</c:v>
                </c:pt>
                <c:pt idx="837">
                  <c:v>42278</c:v>
                </c:pt>
                <c:pt idx="838">
                  <c:v>42309</c:v>
                </c:pt>
                <c:pt idx="839">
                  <c:v>42339</c:v>
                </c:pt>
                <c:pt idx="840">
                  <c:v>42370</c:v>
                </c:pt>
                <c:pt idx="841">
                  <c:v>42401</c:v>
                </c:pt>
                <c:pt idx="842">
                  <c:v>42430</c:v>
                </c:pt>
                <c:pt idx="843">
                  <c:v>42461</c:v>
                </c:pt>
                <c:pt idx="844">
                  <c:v>42491</c:v>
                </c:pt>
                <c:pt idx="845">
                  <c:v>42522</c:v>
                </c:pt>
                <c:pt idx="846">
                  <c:v>42552</c:v>
                </c:pt>
                <c:pt idx="847">
                  <c:v>42583</c:v>
                </c:pt>
                <c:pt idx="848">
                  <c:v>42614</c:v>
                </c:pt>
                <c:pt idx="849">
                  <c:v>42644</c:v>
                </c:pt>
                <c:pt idx="850">
                  <c:v>42675</c:v>
                </c:pt>
                <c:pt idx="851">
                  <c:v>42705</c:v>
                </c:pt>
                <c:pt idx="852">
                  <c:v>42736</c:v>
                </c:pt>
                <c:pt idx="853">
                  <c:v>42767</c:v>
                </c:pt>
                <c:pt idx="854">
                  <c:v>42795</c:v>
                </c:pt>
                <c:pt idx="855">
                  <c:v>42826</c:v>
                </c:pt>
                <c:pt idx="856">
                  <c:v>42856</c:v>
                </c:pt>
                <c:pt idx="857">
                  <c:v>42887</c:v>
                </c:pt>
                <c:pt idx="858">
                  <c:v>42917</c:v>
                </c:pt>
                <c:pt idx="859">
                  <c:v>42948</c:v>
                </c:pt>
                <c:pt idx="860">
                  <c:v>42979</c:v>
                </c:pt>
                <c:pt idx="861">
                  <c:v>43009</c:v>
                </c:pt>
                <c:pt idx="862">
                  <c:v>43040</c:v>
                </c:pt>
                <c:pt idx="863">
                  <c:v>43070</c:v>
                </c:pt>
                <c:pt idx="864">
                  <c:v>43101</c:v>
                </c:pt>
                <c:pt idx="865">
                  <c:v>43132</c:v>
                </c:pt>
                <c:pt idx="866">
                  <c:v>43160</c:v>
                </c:pt>
                <c:pt idx="867">
                  <c:v>43191</c:v>
                </c:pt>
                <c:pt idx="868">
                  <c:v>43221</c:v>
                </c:pt>
                <c:pt idx="869">
                  <c:v>43252</c:v>
                </c:pt>
                <c:pt idx="870">
                  <c:v>43282</c:v>
                </c:pt>
                <c:pt idx="871">
                  <c:v>43313</c:v>
                </c:pt>
                <c:pt idx="872">
                  <c:v>43344</c:v>
                </c:pt>
                <c:pt idx="873">
                  <c:v>43374</c:v>
                </c:pt>
                <c:pt idx="874">
                  <c:v>43405</c:v>
                </c:pt>
                <c:pt idx="875">
                  <c:v>43435</c:v>
                </c:pt>
                <c:pt idx="876">
                  <c:v>43466</c:v>
                </c:pt>
                <c:pt idx="877">
                  <c:v>43497</c:v>
                </c:pt>
                <c:pt idx="878">
                  <c:v>43525</c:v>
                </c:pt>
                <c:pt idx="879">
                  <c:v>43556</c:v>
                </c:pt>
                <c:pt idx="880">
                  <c:v>43586</c:v>
                </c:pt>
                <c:pt idx="881">
                  <c:v>43617</c:v>
                </c:pt>
                <c:pt idx="882">
                  <c:v>43647</c:v>
                </c:pt>
                <c:pt idx="883">
                  <c:v>43678</c:v>
                </c:pt>
                <c:pt idx="884">
                  <c:v>43709</c:v>
                </c:pt>
                <c:pt idx="885">
                  <c:v>43739</c:v>
                </c:pt>
                <c:pt idx="886">
                  <c:v>43770</c:v>
                </c:pt>
                <c:pt idx="887">
                  <c:v>43800</c:v>
                </c:pt>
                <c:pt idx="888">
                  <c:v>43831</c:v>
                </c:pt>
                <c:pt idx="889">
                  <c:v>43862</c:v>
                </c:pt>
                <c:pt idx="890">
                  <c:v>43891</c:v>
                </c:pt>
                <c:pt idx="891">
                  <c:v>43922</c:v>
                </c:pt>
                <c:pt idx="892">
                  <c:v>43952</c:v>
                </c:pt>
                <c:pt idx="893">
                  <c:v>43983</c:v>
                </c:pt>
                <c:pt idx="894">
                  <c:v>44013</c:v>
                </c:pt>
                <c:pt idx="895">
                  <c:v>44044</c:v>
                </c:pt>
                <c:pt idx="896">
                  <c:v>44075</c:v>
                </c:pt>
                <c:pt idx="897">
                  <c:v>44105</c:v>
                </c:pt>
                <c:pt idx="898">
                  <c:v>44136</c:v>
                </c:pt>
                <c:pt idx="899">
                  <c:v>44166</c:v>
                </c:pt>
                <c:pt idx="900">
                  <c:v>44197</c:v>
                </c:pt>
                <c:pt idx="901">
                  <c:v>44228</c:v>
                </c:pt>
                <c:pt idx="902">
                  <c:v>44256</c:v>
                </c:pt>
                <c:pt idx="903">
                  <c:v>44287</c:v>
                </c:pt>
                <c:pt idx="904">
                  <c:v>44317</c:v>
                </c:pt>
                <c:pt idx="905">
                  <c:v>44348</c:v>
                </c:pt>
                <c:pt idx="906">
                  <c:v>44378</c:v>
                </c:pt>
                <c:pt idx="907">
                  <c:v>44409</c:v>
                </c:pt>
                <c:pt idx="908">
                  <c:v>44440</c:v>
                </c:pt>
                <c:pt idx="909">
                  <c:v>44470</c:v>
                </c:pt>
                <c:pt idx="910">
                  <c:v>44501</c:v>
                </c:pt>
                <c:pt idx="911">
                  <c:v>44531</c:v>
                </c:pt>
                <c:pt idx="912">
                  <c:v>44562</c:v>
                </c:pt>
                <c:pt idx="913">
                  <c:v>44593</c:v>
                </c:pt>
                <c:pt idx="914">
                  <c:v>44621</c:v>
                </c:pt>
                <c:pt idx="915">
                  <c:v>44652</c:v>
                </c:pt>
                <c:pt idx="916">
                  <c:v>44682</c:v>
                </c:pt>
                <c:pt idx="917">
                  <c:v>44713</c:v>
                </c:pt>
                <c:pt idx="918">
                  <c:v>44743</c:v>
                </c:pt>
                <c:pt idx="919">
                  <c:v>44774</c:v>
                </c:pt>
                <c:pt idx="920">
                  <c:v>44805</c:v>
                </c:pt>
                <c:pt idx="921">
                  <c:v>44835</c:v>
                </c:pt>
                <c:pt idx="922">
                  <c:v>44866</c:v>
                </c:pt>
                <c:pt idx="923">
                  <c:v>44896</c:v>
                </c:pt>
                <c:pt idx="924">
                  <c:v>44927</c:v>
                </c:pt>
                <c:pt idx="925">
                  <c:v>44958</c:v>
                </c:pt>
                <c:pt idx="926">
                  <c:v>44986</c:v>
                </c:pt>
                <c:pt idx="927">
                  <c:v>45017</c:v>
                </c:pt>
                <c:pt idx="928">
                  <c:v>45047</c:v>
                </c:pt>
                <c:pt idx="929">
                  <c:v>45078</c:v>
                </c:pt>
                <c:pt idx="930">
                  <c:v>45108</c:v>
                </c:pt>
                <c:pt idx="931">
                  <c:v>45139</c:v>
                </c:pt>
                <c:pt idx="932">
                  <c:v>45170</c:v>
                </c:pt>
                <c:pt idx="933">
                  <c:v>45200</c:v>
                </c:pt>
                <c:pt idx="934">
                  <c:v>45231</c:v>
                </c:pt>
                <c:pt idx="935">
                  <c:v>45261</c:v>
                </c:pt>
                <c:pt idx="936">
                  <c:v>45292</c:v>
                </c:pt>
                <c:pt idx="937">
                  <c:v>45323</c:v>
                </c:pt>
                <c:pt idx="938">
                  <c:v>45352</c:v>
                </c:pt>
                <c:pt idx="939">
                  <c:v>45383</c:v>
                </c:pt>
                <c:pt idx="940">
                  <c:v>45413</c:v>
                </c:pt>
                <c:pt idx="941">
                  <c:v>45444</c:v>
                </c:pt>
                <c:pt idx="942">
                  <c:v>45474</c:v>
                </c:pt>
                <c:pt idx="943">
                  <c:v>45505</c:v>
                </c:pt>
                <c:pt idx="944">
                  <c:v>45536</c:v>
                </c:pt>
                <c:pt idx="945">
                  <c:v>45566</c:v>
                </c:pt>
                <c:pt idx="946">
                  <c:v>45597</c:v>
                </c:pt>
                <c:pt idx="947">
                  <c:v>45627</c:v>
                </c:pt>
                <c:pt idx="948">
                  <c:v>45658</c:v>
                </c:pt>
                <c:pt idx="949">
                  <c:v>45689</c:v>
                </c:pt>
                <c:pt idx="950">
                  <c:v>45717</c:v>
                </c:pt>
                <c:pt idx="951">
                  <c:v>45748</c:v>
                </c:pt>
                <c:pt idx="952">
                  <c:v>45778</c:v>
                </c:pt>
                <c:pt idx="953">
                  <c:v>45809</c:v>
                </c:pt>
                <c:pt idx="954">
                  <c:v>45839</c:v>
                </c:pt>
                <c:pt idx="955">
                  <c:v>45870</c:v>
                </c:pt>
                <c:pt idx="956">
                  <c:v>45901</c:v>
                </c:pt>
                <c:pt idx="957">
                  <c:v>45931</c:v>
                </c:pt>
                <c:pt idx="958">
                  <c:v>45962</c:v>
                </c:pt>
                <c:pt idx="959">
                  <c:v>45992</c:v>
                </c:pt>
                <c:pt idx="960">
                  <c:v>46023</c:v>
                </c:pt>
                <c:pt idx="961">
                  <c:v>46054</c:v>
                </c:pt>
                <c:pt idx="962">
                  <c:v>46082</c:v>
                </c:pt>
                <c:pt idx="963">
                  <c:v>46113</c:v>
                </c:pt>
                <c:pt idx="964">
                  <c:v>46143</c:v>
                </c:pt>
                <c:pt idx="965">
                  <c:v>46174</c:v>
                </c:pt>
                <c:pt idx="966">
                  <c:v>46204</c:v>
                </c:pt>
                <c:pt idx="967">
                  <c:v>46235</c:v>
                </c:pt>
                <c:pt idx="968">
                  <c:v>46266</c:v>
                </c:pt>
                <c:pt idx="969">
                  <c:v>46296</c:v>
                </c:pt>
                <c:pt idx="970">
                  <c:v>46327</c:v>
                </c:pt>
                <c:pt idx="971">
                  <c:v>46357</c:v>
                </c:pt>
                <c:pt idx="972">
                  <c:v>46388</c:v>
                </c:pt>
                <c:pt idx="973">
                  <c:v>46419</c:v>
                </c:pt>
                <c:pt idx="974">
                  <c:v>46447</c:v>
                </c:pt>
                <c:pt idx="975">
                  <c:v>46478</c:v>
                </c:pt>
                <c:pt idx="976">
                  <c:v>46508</c:v>
                </c:pt>
                <c:pt idx="977">
                  <c:v>46539</c:v>
                </c:pt>
                <c:pt idx="978">
                  <c:v>46569</c:v>
                </c:pt>
                <c:pt idx="979">
                  <c:v>46600</c:v>
                </c:pt>
                <c:pt idx="980">
                  <c:v>46631</c:v>
                </c:pt>
                <c:pt idx="981">
                  <c:v>46661</c:v>
                </c:pt>
                <c:pt idx="982">
                  <c:v>46692</c:v>
                </c:pt>
                <c:pt idx="983">
                  <c:v>46722</c:v>
                </c:pt>
                <c:pt idx="984">
                  <c:v>46753</c:v>
                </c:pt>
                <c:pt idx="985">
                  <c:v>46784</c:v>
                </c:pt>
                <c:pt idx="986">
                  <c:v>46813</c:v>
                </c:pt>
                <c:pt idx="987">
                  <c:v>46844</c:v>
                </c:pt>
                <c:pt idx="988">
                  <c:v>46874</c:v>
                </c:pt>
                <c:pt idx="989">
                  <c:v>46905</c:v>
                </c:pt>
                <c:pt idx="990">
                  <c:v>46935</c:v>
                </c:pt>
                <c:pt idx="991">
                  <c:v>46966</c:v>
                </c:pt>
                <c:pt idx="992">
                  <c:v>46997</c:v>
                </c:pt>
                <c:pt idx="993">
                  <c:v>47027</c:v>
                </c:pt>
                <c:pt idx="994">
                  <c:v>47058</c:v>
                </c:pt>
                <c:pt idx="995">
                  <c:v>47088</c:v>
                </c:pt>
                <c:pt idx="996">
                  <c:v>47119</c:v>
                </c:pt>
                <c:pt idx="997">
                  <c:v>47150</c:v>
                </c:pt>
                <c:pt idx="998">
                  <c:v>47178</c:v>
                </c:pt>
                <c:pt idx="999">
                  <c:v>47209</c:v>
                </c:pt>
                <c:pt idx="1000">
                  <c:v>47239</c:v>
                </c:pt>
                <c:pt idx="1001">
                  <c:v>47270</c:v>
                </c:pt>
                <c:pt idx="1002">
                  <c:v>47300</c:v>
                </c:pt>
                <c:pt idx="1003">
                  <c:v>47331</c:v>
                </c:pt>
                <c:pt idx="1004">
                  <c:v>47362</c:v>
                </c:pt>
                <c:pt idx="1005">
                  <c:v>47392</c:v>
                </c:pt>
                <c:pt idx="1006">
                  <c:v>47423</c:v>
                </c:pt>
                <c:pt idx="1007">
                  <c:v>47453</c:v>
                </c:pt>
                <c:pt idx="1008">
                  <c:v>47484</c:v>
                </c:pt>
                <c:pt idx="1009">
                  <c:v>47515</c:v>
                </c:pt>
                <c:pt idx="1010">
                  <c:v>47543</c:v>
                </c:pt>
                <c:pt idx="1011">
                  <c:v>47574</c:v>
                </c:pt>
                <c:pt idx="1012">
                  <c:v>47604</c:v>
                </c:pt>
                <c:pt idx="1013">
                  <c:v>47635</c:v>
                </c:pt>
                <c:pt idx="1014">
                  <c:v>47665</c:v>
                </c:pt>
                <c:pt idx="1015">
                  <c:v>47696</c:v>
                </c:pt>
                <c:pt idx="1016">
                  <c:v>47727</c:v>
                </c:pt>
                <c:pt idx="1017">
                  <c:v>47757</c:v>
                </c:pt>
                <c:pt idx="1018">
                  <c:v>47788</c:v>
                </c:pt>
                <c:pt idx="1019">
                  <c:v>47818</c:v>
                </c:pt>
                <c:pt idx="1020">
                  <c:v>47849</c:v>
                </c:pt>
                <c:pt idx="1021">
                  <c:v>47880</c:v>
                </c:pt>
                <c:pt idx="1022">
                  <c:v>47908</c:v>
                </c:pt>
                <c:pt idx="1023">
                  <c:v>47939</c:v>
                </c:pt>
                <c:pt idx="1024">
                  <c:v>47969</c:v>
                </c:pt>
                <c:pt idx="1025">
                  <c:v>48000</c:v>
                </c:pt>
                <c:pt idx="1026">
                  <c:v>48030</c:v>
                </c:pt>
                <c:pt idx="1027">
                  <c:v>48061</c:v>
                </c:pt>
                <c:pt idx="1028">
                  <c:v>48092</c:v>
                </c:pt>
                <c:pt idx="1029">
                  <c:v>48122</c:v>
                </c:pt>
                <c:pt idx="1030">
                  <c:v>48153</c:v>
                </c:pt>
                <c:pt idx="1031">
                  <c:v>48183</c:v>
                </c:pt>
                <c:pt idx="1032">
                  <c:v>48214</c:v>
                </c:pt>
                <c:pt idx="1033">
                  <c:v>48245</c:v>
                </c:pt>
                <c:pt idx="1034">
                  <c:v>48274</c:v>
                </c:pt>
                <c:pt idx="1035">
                  <c:v>48305</c:v>
                </c:pt>
                <c:pt idx="1036">
                  <c:v>48335</c:v>
                </c:pt>
                <c:pt idx="1037">
                  <c:v>48366</c:v>
                </c:pt>
                <c:pt idx="1038">
                  <c:v>48396</c:v>
                </c:pt>
                <c:pt idx="1039">
                  <c:v>48427</c:v>
                </c:pt>
                <c:pt idx="1040">
                  <c:v>48458</c:v>
                </c:pt>
                <c:pt idx="1041">
                  <c:v>48488</c:v>
                </c:pt>
                <c:pt idx="1042">
                  <c:v>48519</c:v>
                </c:pt>
                <c:pt idx="1043">
                  <c:v>48549</c:v>
                </c:pt>
                <c:pt idx="1044">
                  <c:v>48580</c:v>
                </c:pt>
                <c:pt idx="1045">
                  <c:v>48611</c:v>
                </c:pt>
                <c:pt idx="1046">
                  <c:v>48639</c:v>
                </c:pt>
                <c:pt idx="1047">
                  <c:v>48670</c:v>
                </c:pt>
                <c:pt idx="1048">
                  <c:v>48700</c:v>
                </c:pt>
                <c:pt idx="1049">
                  <c:v>48731</c:v>
                </c:pt>
                <c:pt idx="1050">
                  <c:v>48761</c:v>
                </c:pt>
                <c:pt idx="1051">
                  <c:v>48792</c:v>
                </c:pt>
                <c:pt idx="1052">
                  <c:v>48823</c:v>
                </c:pt>
                <c:pt idx="1053">
                  <c:v>48853</c:v>
                </c:pt>
                <c:pt idx="1054">
                  <c:v>48884</c:v>
                </c:pt>
                <c:pt idx="1055">
                  <c:v>48914</c:v>
                </c:pt>
                <c:pt idx="1056">
                  <c:v>48945</c:v>
                </c:pt>
                <c:pt idx="1057">
                  <c:v>48976</c:v>
                </c:pt>
                <c:pt idx="1058">
                  <c:v>49004</c:v>
                </c:pt>
                <c:pt idx="1059">
                  <c:v>49035</c:v>
                </c:pt>
                <c:pt idx="1060">
                  <c:v>49065</c:v>
                </c:pt>
                <c:pt idx="1061">
                  <c:v>49096</c:v>
                </c:pt>
                <c:pt idx="1062">
                  <c:v>49126</c:v>
                </c:pt>
                <c:pt idx="1063">
                  <c:v>49157</c:v>
                </c:pt>
                <c:pt idx="1064">
                  <c:v>49188</c:v>
                </c:pt>
                <c:pt idx="1065">
                  <c:v>49218</c:v>
                </c:pt>
                <c:pt idx="1066">
                  <c:v>49249</c:v>
                </c:pt>
                <c:pt idx="1067">
                  <c:v>49279</c:v>
                </c:pt>
                <c:pt idx="1068">
                  <c:v>49310</c:v>
                </c:pt>
                <c:pt idx="1069">
                  <c:v>49341</c:v>
                </c:pt>
                <c:pt idx="1070">
                  <c:v>49369</c:v>
                </c:pt>
                <c:pt idx="1071">
                  <c:v>49400</c:v>
                </c:pt>
                <c:pt idx="1072">
                  <c:v>49430</c:v>
                </c:pt>
                <c:pt idx="1073">
                  <c:v>49461</c:v>
                </c:pt>
                <c:pt idx="1074">
                  <c:v>49491</c:v>
                </c:pt>
                <c:pt idx="1075">
                  <c:v>49522</c:v>
                </c:pt>
                <c:pt idx="1076">
                  <c:v>49553</c:v>
                </c:pt>
                <c:pt idx="1077">
                  <c:v>49583</c:v>
                </c:pt>
                <c:pt idx="1078">
                  <c:v>49614</c:v>
                </c:pt>
                <c:pt idx="1079">
                  <c:v>49644</c:v>
                </c:pt>
                <c:pt idx="1080">
                  <c:v>49675</c:v>
                </c:pt>
                <c:pt idx="1081">
                  <c:v>49706</c:v>
                </c:pt>
                <c:pt idx="1082">
                  <c:v>49735</c:v>
                </c:pt>
                <c:pt idx="1083">
                  <c:v>49766</c:v>
                </c:pt>
                <c:pt idx="1084">
                  <c:v>49796</c:v>
                </c:pt>
                <c:pt idx="1085">
                  <c:v>49827</c:v>
                </c:pt>
                <c:pt idx="1086">
                  <c:v>49857</c:v>
                </c:pt>
                <c:pt idx="1087">
                  <c:v>49888</c:v>
                </c:pt>
                <c:pt idx="1088">
                  <c:v>49919</c:v>
                </c:pt>
                <c:pt idx="1089">
                  <c:v>49949</c:v>
                </c:pt>
                <c:pt idx="1090">
                  <c:v>49980</c:v>
                </c:pt>
                <c:pt idx="1091">
                  <c:v>50010</c:v>
                </c:pt>
                <c:pt idx="1092">
                  <c:v>50041</c:v>
                </c:pt>
                <c:pt idx="1093">
                  <c:v>50072</c:v>
                </c:pt>
                <c:pt idx="1094">
                  <c:v>50100</c:v>
                </c:pt>
                <c:pt idx="1095">
                  <c:v>50131</c:v>
                </c:pt>
                <c:pt idx="1096">
                  <c:v>50161</c:v>
                </c:pt>
                <c:pt idx="1097">
                  <c:v>50192</c:v>
                </c:pt>
                <c:pt idx="1098">
                  <c:v>50222</c:v>
                </c:pt>
                <c:pt idx="1099">
                  <c:v>50253</c:v>
                </c:pt>
                <c:pt idx="1100">
                  <c:v>50284</c:v>
                </c:pt>
                <c:pt idx="1101">
                  <c:v>50314</c:v>
                </c:pt>
                <c:pt idx="1102">
                  <c:v>50345</c:v>
                </c:pt>
                <c:pt idx="1103">
                  <c:v>50375</c:v>
                </c:pt>
                <c:pt idx="1104">
                  <c:v>50406</c:v>
                </c:pt>
                <c:pt idx="1105">
                  <c:v>50437</c:v>
                </c:pt>
                <c:pt idx="1106">
                  <c:v>50465</c:v>
                </c:pt>
                <c:pt idx="1107">
                  <c:v>50496</c:v>
                </c:pt>
                <c:pt idx="1108">
                  <c:v>50526</c:v>
                </c:pt>
                <c:pt idx="1109">
                  <c:v>50557</c:v>
                </c:pt>
                <c:pt idx="1110">
                  <c:v>50587</c:v>
                </c:pt>
                <c:pt idx="1111">
                  <c:v>50618</c:v>
                </c:pt>
                <c:pt idx="1112">
                  <c:v>50649</c:v>
                </c:pt>
                <c:pt idx="1113">
                  <c:v>50679</c:v>
                </c:pt>
                <c:pt idx="1114">
                  <c:v>50710</c:v>
                </c:pt>
                <c:pt idx="1115">
                  <c:v>50740</c:v>
                </c:pt>
                <c:pt idx="1116">
                  <c:v>50771</c:v>
                </c:pt>
                <c:pt idx="1117">
                  <c:v>50802</c:v>
                </c:pt>
                <c:pt idx="1118">
                  <c:v>50830</c:v>
                </c:pt>
                <c:pt idx="1119">
                  <c:v>50861</c:v>
                </c:pt>
                <c:pt idx="1120">
                  <c:v>50891</c:v>
                </c:pt>
                <c:pt idx="1121">
                  <c:v>50922</c:v>
                </c:pt>
                <c:pt idx="1122">
                  <c:v>50952</c:v>
                </c:pt>
                <c:pt idx="1123">
                  <c:v>50983</c:v>
                </c:pt>
                <c:pt idx="1124">
                  <c:v>51014</c:v>
                </c:pt>
                <c:pt idx="1125">
                  <c:v>51044</c:v>
                </c:pt>
                <c:pt idx="1126">
                  <c:v>51075</c:v>
                </c:pt>
                <c:pt idx="1127">
                  <c:v>51105</c:v>
                </c:pt>
                <c:pt idx="1128">
                  <c:v>51136</c:v>
                </c:pt>
                <c:pt idx="1129">
                  <c:v>51167</c:v>
                </c:pt>
                <c:pt idx="1130">
                  <c:v>51196</c:v>
                </c:pt>
                <c:pt idx="1131">
                  <c:v>51227</c:v>
                </c:pt>
                <c:pt idx="1132">
                  <c:v>51257</c:v>
                </c:pt>
                <c:pt idx="1133">
                  <c:v>51288</c:v>
                </c:pt>
                <c:pt idx="1134">
                  <c:v>51318</c:v>
                </c:pt>
                <c:pt idx="1135">
                  <c:v>51349</c:v>
                </c:pt>
                <c:pt idx="1136">
                  <c:v>51380</c:v>
                </c:pt>
                <c:pt idx="1137">
                  <c:v>51410</c:v>
                </c:pt>
                <c:pt idx="1138">
                  <c:v>51441</c:v>
                </c:pt>
                <c:pt idx="1139">
                  <c:v>51471</c:v>
                </c:pt>
                <c:pt idx="1140">
                  <c:v>51502</c:v>
                </c:pt>
                <c:pt idx="1141">
                  <c:v>51533</c:v>
                </c:pt>
                <c:pt idx="1142">
                  <c:v>51561</c:v>
                </c:pt>
                <c:pt idx="1143">
                  <c:v>51592</c:v>
                </c:pt>
                <c:pt idx="1144">
                  <c:v>51622</c:v>
                </c:pt>
                <c:pt idx="1145">
                  <c:v>51653</c:v>
                </c:pt>
                <c:pt idx="1146">
                  <c:v>51683</c:v>
                </c:pt>
                <c:pt idx="1147">
                  <c:v>51714</c:v>
                </c:pt>
                <c:pt idx="1148">
                  <c:v>51745</c:v>
                </c:pt>
                <c:pt idx="1149">
                  <c:v>51775</c:v>
                </c:pt>
                <c:pt idx="1150">
                  <c:v>51806</c:v>
                </c:pt>
                <c:pt idx="1151">
                  <c:v>51836</c:v>
                </c:pt>
                <c:pt idx="1152">
                  <c:v>51867</c:v>
                </c:pt>
                <c:pt idx="1153">
                  <c:v>51898</c:v>
                </c:pt>
                <c:pt idx="1154">
                  <c:v>51926</c:v>
                </c:pt>
                <c:pt idx="1155">
                  <c:v>51957</c:v>
                </c:pt>
                <c:pt idx="1156">
                  <c:v>51987</c:v>
                </c:pt>
                <c:pt idx="1157">
                  <c:v>52018</c:v>
                </c:pt>
                <c:pt idx="1158">
                  <c:v>52048</c:v>
                </c:pt>
                <c:pt idx="1159">
                  <c:v>52079</c:v>
                </c:pt>
                <c:pt idx="1160">
                  <c:v>52110</c:v>
                </c:pt>
                <c:pt idx="1161">
                  <c:v>52140</c:v>
                </c:pt>
                <c:pt idx="1162">
                  <c:v>52171</c:v>
                </c:pt>
                <c:pt idx="1163">
                  <c:v>52201</c:v>
                </c:pt>
                <c:pt idx="1164">
                  <c:v>52232</c:v>
                </c:pt>
                <c:pt idx="1165">
                  <c:v>52263</c:v>
                </c:pt>
                <c:pt idx="1166">
                  <c:v>52291</c:v>
                </c:pt>
                <c:pt idx="1167">
                  <c:v>52322</c:v>
                </c:pt>
                <c:pt idx="1168">
                  <c:v>52352</c:v>
                </c:pt>
                <c:pt idx="1169">
                  <c:v>52383</c:v>
                </c:pt>
                <c:pt idx="1170">
                  <c:v>52413</c:v>
                </c:pt>
                <c:pt idx="1171">
                  <c:v>52444</c:v>
                </c:pt>
                <c:pt idx="1172">
                  <c:v>52475</c:v>
                </c:pt>
                <c:pt idx="1173">
                  <c:v>52505</c:v>
                </c:pt>
                <c:pt idx="1174">
                  <c:v>52536</c:v>
                </c:pt>
                <c:pt idx="1175">
                  <c:v>52566</c:v>
                </c:pt>
                <c:pt idx="1176">
                  <c:v>52597</c:v>
                </c:pt>
                <c:pt idx="1177">
                  <c:v>52628</c:v>
                </c:pt>
                <c:pt idx="1178">
                  <c:v>52657</c:v>
                </c:pt>
                <c:pt idx="1179">
                  <c:v>52688</c:v>
                </c:pt>
                <c:pt idx="1180">
                  <c:v>52718</c:v>
                </c:pt>
                <c:pt idx="1181">
                  <c:v>52749</c:v>
                </c:pt>
                <c:pt idx="1182">
                  <c:v>52779</c:v>
                </c:pt>
                <c:pt idx="1183">
                  <c:v>52810</c:v>
                </c:pt>
                <c:pt idx="1184">
                  <c:v>52841</c:v>
                </c:pt>
                <c:pt idx="1185">
                  <c:v>52871</c:v>
                </c:pt>
                <c:pt idx="1186">
                  <c:v>52902</c:v>
                </c:pt>
                <c:pt idx="1187">
                  <c:v>52932</c:v>
                </c:pt>
                <c:pt idx="1188">
                  <c:v>52963</c:v>
                </c:pt>
                <c:pt idx="1189">
                  <c:v>52994</c:v>
                </c:pt>
                <c:pt idx="1190">
                  <c:v>53022</c:v>
                </c:pt>
                <c:pt idx="1191">
                  <c:v>53053</c:v>
                </c:pt>
                <c:pt idx="1192">
                  <c:v>53083</c:v>
                </c:pt>
                <c:pt idx="1193">
                  <c:v>53114</c:v>
                </c:pt>
                <c:pt idx="1194">
                  <c:v>53144</c:v>
                </c:pt>
                <c:pt idx="1195">
                  <c:v>53175</c:v>
                </c:pt>
                <c:pt idx="1196">
                  <c:v>53206</c:v>
                </c:pt>
                <c:pt idx="1197">
                  <c:v>53236</c:v>
                </c:pt>
                <c:pt idx="1198">
                  <c:v>53267</c:v>
                </c:pt>
                <c:pt idx="1199">
                  <c:v>53297</c:v>
                </c:pt>
                <c:pt idx="1200">
                  <c:v>53328</c:v>
                </c:pt>
                <c:pt idx="1201">
                  <c:v>53359</c:v>
                </c:pt>
                <c:pt idx="1202">
                  <c:v>53387</c:v>
                </c:pt>
                <c:pt idx="1203">
                  <c:v>53418</c:v>
                </c:pt>
                <c:pt idx="1204">
                  <c:v>53448</c:v>
                </c:pt>
                <c:pt idx="1205">
                  <c:v>53479</c:v>
                </c:pt>
                <c:pt idx="1206">
                  <c:v>53509</c:v>
                </c:pt>
                <c:pt idx="1207">
                  <c:v>53540</c:v>
                </c:pt>
                <c:pt idx="1208">
                  <c:v>53571</c:v>
                </c:pt>
                <c:pt idx="1209">
                  <c:v>53601</c:v>
                </c:pt>
                <c:pt idx="1210">
                  <c:v>53632</c:v>
                </c:pt>
                <c:pt idx="1211">
                  <c:v>53662</c:v>
                </c:pt>
                <c:pt idx="1212">
                  <c:v>53693</c:v>
                </c:pt>
                <c:pt idx="1213">
                  <c:v>53724</c:v>
                </c:pt>
                <c:pt idx="1214">
                  <c:v>53752</c:v>
                </c:pt>
                <c:pt idx="1215">
                  <c:v>53783</c:v>
                </c:pt>
                <c:pt idx="1216">
                  <c:v>53813</c:v>
                </c:pt>
                <c:pt idx="1217">
                  <c:v>53844</c:v>
                </c:pt>
                <c:pt idx="1218">
                  <c:v>53874</c:v>
                </c:pt>
                <c:pt idx="1219">
                  <c:v>53905</c:v>
                </c:pt>
                <c:pt idx="1220">
                  <c:v>53936</c:v>
                </c:pt>
                <c:pt idx="1221">
                  <c:v>53966</c:v>
                </c:pt>
                <c:pt idx="1222">
                  <c:v>53997</c:v>
                </c:pt>
                <c:pt idx="1223">
                  <c:v>54027</c:v>
                </c:pt>
                <c:pt idx="1224">
                  <c:v>54058</c:v>
                </c:pt>
                <c:pt idx="1225">
                  <c:v>54089</c:v>
                </c:pt>
                <c:pt idx="1226">
                  <c:v>54118</c:v>
                </c:pt>
                <c:pt idx="1227">
                  <c:v>54149</c:v>
                </c:pt>
                <c:pt idx="1228">
                  <c:v>54179</c:v>
                </c:pt>
                <c:pt idx="1229">
                  <c:v>54210</c:v>
                </c:pt>
                <c:pt idx="1230">
                  <c:v>54240</c:v>
                </c:pt>
                <c:pt idx="1231">
                  <c:v>54271</c:v>
                </c:pt>
                <c:pt idx="1232">
                  <c:v>54302</c:v>
                </c:pt>
                <c:pt idx="1233">
                  <c:v>54332</c:v>
                </c:pt>
                <c:pt idx="1234">
                  <c:v>54363</c:v>
                </c:pt>
                <c:pt idx="1235">
                  <c:v>54393</c:v>
                </c:pt>
                <c:pt idx="1236">
                  <c:v>54424</c:v>
                </c:pt>
                <c:pt idx="1237">
                  <c:v>54455</c:v>
                </c:pt>
                <c:pt idx="1238">
                  <c:v>54483</c:v>
                </c:pt>
                <c:pt idx="1239">
                  <c:v>54514</c:v>
                </c:pt>
                <c:pt idx="1240">
                  <c:v>54544</c:v>
                </c:pt>
                <c:pt idx="1241">
                  <c:v>54575</c:v>
                </c:pt>
                <c:pt idx="1242">
                  <c:v>54605</c:v>
                </c:pt>
                <c:pt idx="1243">
                  <c:v>54636</c:v>
                </c:pt>
                <c:pt idx="1244">
                  <c:v>54667</c:v>
                </c:pt>
                <c:pt idx="1245">
                  <c:v>54697</c:v>
                </c:pt>
                <c:pt idx="1246">
                  <c:v>54728</c:v>
                </c:pt>
                <c:pt idx="1247">
                  <c:v>54758</c:v>
                </c:pt>
                <c:pt idx="1248">
                  <c:v>54789</c:v>
                </c:pt>
                <c:pt idx="1249">
                  <c:v>54820</c:v>
                </c:pt>
                <c:pt idx="1250">
                  <c:v>54848</c:v>
                </c:pt>
                <c:pt idx="1251">
                  <c:v>54879</c:v>
                </c:pt>
                <c:pt idx="1252">
                  <c:v>54909</c:v>
                </c:pt>
                <c:pt idx="1253">
                  <c:v>54940</c:v>
                </c:pt>
                <c:pt idx="1254">
                  <c:v>54970</c:v>
                </c:pt>
                <c:pt idx="1255">
                  <c:v>55001</c:v>
                </c:pt>
                <c:pt idx="1256">
                  <c:v>55032</c:v>
                </c:pt>
              </c:numCache>
            </c:numRef>
          </c:cat>
          <c:val>
            <c:numRef>
              <c:f>Forecast!$C$2:$C$1258</c:f>
              <c:numCache>
                <c:formatCode>General</c:formatCode>
                <c:ptCount val="1257"/>
                <c:pt idx="948" formatCode="0.000">
                  <c:v>75.739999999999995</c:v>
                </c:pt>
                <c:pt idx="949" formatCode="0.000">
                  <c:v>74.413451851955628</c:v>
                </c:pt>
                <c:pt idx="950" formatCode="0.000">
                  <c:v>74.539666661559693</c:v>
                </c:pt>
                <c:pt idx="951" formatCode="0.000">
                  <c:v>74.726569512616635</c:v>
                </c:pt>
                <c:pt idx="952" formatCode="0.000">
                  <c:v>74.808914664813244</c:v>
                </c:pt>
                <c:pt idx="953" formatCode="0.000">
                  <c:v>74.782369024350217</c:v>
                </c:pt>
                <c:pt idx="954" formatCode="0.000">
                  <c:v>74.840366088135767</c:v>
                </c:pt>
                <c:pt idx="955" formatCode="0.000">
                  <c:v>74.945379611292438</c:v>
                </c:pt>
                <c:pt idx="956" formatCode="0.000">
                  <c:v>74.993043716731677</c:v>
                </c:pt>
                <c:pt idx="957" formatCode="0.000">
                  <c:v>75.041625899727066</c:v>
                </c:pt>
                <c:pt idx="958" formatCode="0.000">
                  <c:v>75.108383334022761</c:v>
                </c:pt>
                <c:pt idx="959" formatCode="0.000">
                  <c:v>75.15553435182693</c:v>
                </c:pt>
                <c:pt idx="960" formatCode="0.000">
                  <c:v>75.443081917180947</c:v>
                </c:pt>
                <c:pt idx="961" formatCode="0.000">
                  <c:v>75.543518350105757</c:v>
                </c:pt>
                <c:pt idx="962" formatCode="0.000">
                  <c:v>75.669733159709821</c:v>
                </c:pt>
                <c:pt idx="963" formatCode="0.000">
                  <c:v>75.856636010766749</c:v>
                </c:pt>
                <c:pt idx="964" formatCode="0.000">
                  <c:v>75.938981162963358</c:v>
                </c:pt>
                <c:pt idx="965" formatCode="0.000">
                  <c:v>75.912435522500331</c:v>
                </c:pt>
                <c:pt idx="966" formatCode="0.000">
                  <c:v>75.970432586285895</c:v>
                </c:pt>
                <c:pt idx="967" formatCode="0.000">
                  <c:v>76.075446109442566</c:v>
                </c:pt>
                <c:pt idx="968" formatCode="0.000">
                  <c:v>76.123110214881791</c:v>
                </c:pt>
                <c:pt idx="969" formatCode="0.000">
                  <c:v>76.17169239787718</c:v>
                </c:pt>
                <c:pt idx="970" formatCode="0.000">
                  <c:v>76.238449832172876</c:v>
                </c:pt>
                <c:pt idx="971" formatCode="0.000">
                  <c:v>76.285600849977044</c:v>
                </c:pt>
                <c:pt idx="972" formatCode="0.000">
                  <c:v>76.573148415331076</c:v>
                </c:pt>
                <c:pt idx="973" formatCode="0.000">
                  <c:v>76.673584848255871</c:v>
                </c:pt>
                <c:pt idx="974" formatCode="0.000">
                  <c:v>76.799799657859936</c:v>
                </c:pt>
                <c:pt idx="975" formatCode="0.000">
                  <c:v>76.986702508916864</c:v>
                </c:pt>
                <c:pt idx="976" formatCode="0.000">
                  <c:v>77.069047661113473</c:v>
                </c:pt>
                <c:pt idx="977" formatCode="0.000">
                  <c:v>77.04250202065046</c:v>
                </c:pt>
                <c:pt idx="978" formatCode="0.000">
                  <c:v>77.100499084436009</c:v>
                </c:pt>
                <c:pt idx="979" formatCode="0.000">
                  <c:v>77.205512607592681</c:v>
                </c:pt>
                <c:pt idx="980" formatCode="0.000">
                  <c:v>77.253176713031905</c:v>
                </c:pt>
                <c:pt idx="981" formatCode="0.000">
                  <c:v>77.301758896027295</c:v>
                </c:pt>
                <c:pt idx="982" formatCode="0.000">
                  <c:v>77.368516330323004</c:v>
                </c:pt>
                <c:pt idx="983" formatCode="0.000">
                  <c:v>77.415667348127172</c:v>
                </c:pt>
                <c:pt idx="984" formatCode="0.000">
                  <c:v>77.70321491348119</c:v>
                </c:pt>
                <c:pt idx="985" formatCode="0.000">
                  <c:v>77.803651346405985</c:v>
                </c:pt>
                <c:pt idx="986" formatCode="0.000">
                  <c:v>77.92986615601005</c:v>
                </c:pt>
                <c:pt idx="987" formatCode="0.000">
                  <c:v>78.116769007066992</c:v>
                </c:pt>
                <c:pt idx="988" formatCode="0.000">
                  <c:v>78.199114159263601</c:v>
                </c:pt>
                <c:pt idx="989" formatCode="0.000">
                  <c:v>78.172568518800574</c:v>
                </c:pt>
                <c:pt idx="990" formatCode="0.000">
                  <c:v>78.230565582586124</c:v>
                </c:pt>
                <c:pt idx="991" formatCode="0.000">
                  <c:v>78.335579105742795</c:v>
                </c:pt>
                <c:pt idx="992" formatCode="0.000">
                  <c:v>78.383243211182034</c:v>
                </c:pt>
                <c:pt idx="993" formatCode="0.000">
                  <c:v>78.431825394177423</c:v>
                </c:pt>
                <c:pt idx="994" formatCode="0.000">
                  <c:v>78.498582828473118</c:v>
                </c:pt>
                <c:pt idx="995" formatCode="0.000">
                  <c:v>78.545733846277287</c:v>
                </c:pt>
                <c:pt idx="996" formatCode="0.000">
                  <c:v>78.833281411631305</c:v>
                </c:pt>
                <c:pt idx="997" formatCode="0.000">
                  <c:v>78.933717844556114</c:v>
                </c:pt>
                <c:pt idx="998" formatCode="0.000">
                  <c:v>79.059932654160178</c:v>
                </c:pt>
                <c:pt idx="999" formatCode="0.000">
                  <c:v>79.246835505217106</c:v>
                </c:pt>
                <c:pt idx="1000" formatCode="0.000">
                  <c:v>79.329180657413715</c:v>
                </c:pt>
                <c:pt idx="1001" formatCode="0.000">
                  <c:v>79.302635016950688</c:v>
                </c:pt>
                <c:pt idx="1002" formatCode="0.000">
                  <c:v>79.360632080736252</c:v>
                </c:pt>
                <c:pt idx="1003" formatCode="0.000">
                  <c:v>79.465645603892924</c:v>
                </c:pt>
                <c:pt idx="1004" formatCode="0.000">
                  <c:v>79.513309709332148</c:v>
                </c:pt>
                <c:pt idx="1005" formatCode="0.000">
                  <c:v>79.561891892327537</c:v>
                </c:pt>
                <c:pt idx="1006" formatCode="0.000">
                  <c:v>79.628649326623233</c:v>
                </c:pt>
                <c:pt idx="1007" formatCode="0.000">
                  <c:v>79.675800344427415</c:v>
                </c:pt>
                <c:pt idx="1008" formatCode="0.000">
                  <c:v>79.963347909781433</c:v>
                </c:pt>
                <c:pt idx="1009" formatCode="0.000">
                  <c:v>80.063784342706228</c:v>
                </c:pt>
                <c:pt idx="1010" formatCode="0.000">
                  <c:v>80.189999152310293</c:v>
                </c:pt>
                <c:pt idx="1011" formatCode="0.000">
                  <c:v>80.376902003367221</c:v>
                </c:pt>
                <c:pt idx="1012" formatCode="0.000">
                  <c:v>80.45924715556383</c:v>
                </c:pt>
                <c:pt idx="1013" formatCode="0.000">
                  <c:v>80.432701515100817</c:v>
                </c:pt>
                <c:pt idx="1014" formatCode="0.000">
                  <c:v>80.490698578886366</c:v>
                </c:pt>
                <c:pt idx="1015" formatCode="0.000">
                  <c:v>80.595712102043038</c:v>
                </c:pt>
                <c:pt idx="1016" formatCode="0.000">
                  <c:v>80.643376207482262</c:v>
                </c:pt>
                <c:pt idx="1017" formatCode="0.000">
                  <c:v>80.691958390477666</c:v>
                </c:pt>
                <c:pt idx="1018" formatCode="0.000">
                  <c:v>80.758715824773361</c:v>
                </c:pt>
                <c:pt idx="1019" formatCode="0.000">
                  <c:v>80.805866842577529</c:v>
                </c:pt>
                <c:pt idx="1020" formatCode="0.000">
                  <c:v>81.093414407931547</c:v>
                </c:pt>
                <c:pt idx="1021" formatCode="0.000">
                  <c:v>81.193850840856342</c:v>
                </c:pt>
                <c:pt idx="1022" formatCode="0.000">
                  <c:v>81.320065650460407</c:v>
                </c:pt>
                <c:pt idx="1023" formatCode="0.000">
                  <c:v>81.506968501517349</c:v>
                </c:pt>
                <c:pt idx="1024" formatCode="0.000">
                  <c:v>81.589313653713958</c:v>
                </c:pt>
                <c:pt idx="1025" formatCode="0.000">
                  <c:v>81.562768013250931</c:v>
                </c:pt>
                <c:pt idx="1026" formatCode="0.000">
                  <c:v>81.620765077036481</c:v>
                </c:pt>
                <c:pt idx="1027" formatCode="0.000">
                  <c:v>81.725778600193152</c:v>
                </c:pt>
                <c:pt idx="1028" formatCode="0.000">
                  <c:v>81.773442705632391</c:v>
                </c:pt>
                <c:pt idx="1029" formatCode="0.000">
                  <c:v>81.82202488862778</c:v>
                </c:pt>
                <c:pt idx="1030" formatCode="0.000">
                  <c:v>81.888782322923475</c:v>
                </c:pt>
                <c:pt idx="1031" formatCode="0.000">
                  <c:v>81.935933340727644</c:v>
                </c:pt>
                <c:pt idx="1032" formatCode="0.000">
                  <c:v>82.223480906081662</c:v>
                </c:pt>
                <c:pt idx="1033" formatCode="0.000">
                  <c:v>82.323917339006471</c:v>
                </c:pt>
                <c:pt idx="1034" formatCode="0.000">
                  <c:v>82.450132148610535</c:v>
                </c:pt>
                <c:pt idx="1035" formatCode="0.000">
                  <c:v>82.637034999667463</c:v>
                </c:pt>
                <c:pt idx="1036" formatCode="0.000">
                  <c:v>82.719380151864073</c:v>
                </c:pt>
                <c:pt idx="1037" formatCode="0.000">
                  <c:v>82.692834511401045</c:v>
                </c:pt>
                <c:pt idx="1038" formatCode="0.000">
                  <c:v>82.750831575186609</c:v>
                </c:pt>
                <c:pt idx="1039" formatCode="0.000">
                  <c:v>82.855845098343281</c:v>
                </c:pt>
                <c:pt idx="1040" formatCode="0.000">
                  <c:v>82.903509203782505</c:v>
                </c:pt>
                <c:pt idx="1041" formatCode="0.000">
                  <c:v>82.952091386777894</c:v>
                </c:pt>
                <c:pt idx="1042" formatCode="0.000">
                  <c:v>83.01884882107359</c:v>
                </c:pt>
                <c:pt idx="1043" formatCode="0.000">
                  <c:v>83.065999838877758</c:v>
                </c:pt>
                <c:pt idx="1044" formatCode="0.000">
                  <c:v>83.35354740423179</c:v>
                </c:pt>
                <c:pt idx="1045" formatCode="0.000">
                  <c:v>83.453983837156585</c:v>
                </c:pt>
                <c:pt idx="1046" formatCode="0.000">
                  <c:v>83.58019864676065</c:v>
                </c:pt>
                <c:pt idx="1047" formatCode="0.000">
                  <c:v>83.767101497817578</c:v>
                </c:pt>
                <c:pt idx="1048" formatCode="0.000">
                  <c:v>83.849446650014201</c:v>
                </c:pt>
                <c:pt idx="1049" formatCode="0.000">
                  <c:v>83.822901009551174</c:v>
                </c:pt>
                <c:pt idx="1050" formatCode="0.000">
                  <c:v>83.880898073336724</c:v>
                </c:pt>
                <c:pt idx="1051" formatCode="0.000">
                  <c:v>83.985911596493395</c:v>
                </c:pt>
                <c:pt idx="1052" formatCode="0.000">
                  <c:v>84.033575701932619</c:v>
                </c:pt>
                <c:pt idx="1053" formatCode="0.000">
                  <c:v>84.082157884928009</c:v>
                </c:pt>
                <c:pt idx="1054" formatCode="0.000">
                  <c:v>84.148915319223718</c:v>
                </c:pt>
                <c:pt idx="1055" formatCode="0.000">
                  <c:v>84.196066337027887</c:v>
                </c:pt>
                <c:pt idx="1056" formatCode="0.000">
                  <c:v>84.483613902381904</c:v>
                </c:pt>
                <c:pt idx="1057" formatCode="0.000">
                  <c:v>84.584050335306699</c:v>
                </c:pt>
                <c:pt idx="1058" formatCode="0.000">
                  <c:v>84.710265144910778</c:v>
                </c:pt>
                <c:pt idx="1059" formatCode="0.000">
                  <c:v>84.897167995967706</c:v>
                </c:pt>
                <c:pt idx="1060" formatCode="0.000">
                  <c:v>84.979513148164315</c:v>
                </c:pt>
                <c:pt idx="1061" formatCode="0.000">
                  <c:v>84.952967507701288</c:v>
                </c:pt>
                <c:pt idx="1062" formatCode="0.000">
                  <c:v>85.010964571486838</c:v>
                </c:pt>
                <c:pt idx="1063" formatCode="0.000">
                  <c:v>85.115978094643509</c:v>
                </c:pt>
                <c:pt idx="1064" formatCode="0.000">
                  <c:v>85.163642200082748</c:v>
                </c:pt>
                <c:pt idx="1065" formatCode="0.000">
                  <c:v>85.212224383078137</c:v>
                </c:pt>
                <c:pt idx="1066" formatCode="0.000">
                  <c:v>85.278981817373833</c:v>
                </c:pt>
                <c:pt idx="1067" formatCode="0.000">
                  <c:v>85.326132835178001</c:v>
                </c:pt>
                <c:pt idx="1068" formatCode="0.000">
                  <c:v>85.613680400532033</c:v>
                </c:pt>
                <c:pt idx="1069" formatCode="0.000">
                  <c:v>85.714116833456828</c:v>
                </c:pt>
                <c:pt idx="1070" formatCode="0.000">
                  <c:v>85.840331643060892</c:v>
                </c:pt>
                <c:pt idx="1071" formatCode="0.000">
                  <c:v>86.02723449411782</c:v>
                </c:pt>
                <c:pt idx="1072" formatCode="0.000">
                  <c:v>86.10957964631443</c:v>
                </c:pt>
                <c:pt idx="1073" formatCode="0.000">
                  <c:v>86.083034005851403</c:v>
                </c:pt>
                <c:pt idx="1074" formatCode="0.000">
                  <c:v>86.141031069636966</c:v>
                </c:pt>
                <c:pt idx="1075" formatCode="0.000">
                  <c:v>86.246044592793638</c:v>
                </c:pt>
                <c:pt idx="1076" formatCode="0.000">
                  <c:v>86.293708698232862</c:v>
                </c:pt>
                <c:pt idx="1077" formatCode="0.000">
                  <c:v>86.342290881228251</c:v>
                </c:pt>
                <c:pt idx="1078" formatCode="0.000">
                  <c:v>86.409048315523947</c:v>
                </c:pt>
                <c:pt idx="1079" formatCode="0.000">
                  <c:v>86.456199333328129</c:v>
                </c:pt>
                <c:pt idx="1080" formatCode="0.000">
                  <c:v>86.743746898682147</c:v>
                </c:pt>
                <c:pt idx="1081" formatCode="0.000">
                  <c:v>86.844183331606942</c:v>
                </c:pt>
                <c:pt idx="1082" formatCode="0.000">
                  <c:v>86.970398141211007</c:v>
                </c:pt>
                <c:pt idx="1083" formatCode="0.000">
                  <c:v>87.157300992267935</c:v>
                </c:pt>
                <c:pt idx="1084" formatCode="0.000">
                  <c:v>87.239646144464544</c:v>
                </c:pt>
                <c:pt idx="1085" formatCode="0.000">
                  <c:v>87.213100504001531</c:v>
                </c:pt>
                <c:pt idx="1086" formatCode="0.000">
                  <c:v>87.271097567787081</c:v>
                </c:pt>
                <c:pt idx="1087" formatCode="0.000">
                  <c:v>87.376111090943752</c:v>
                </c:pt>
                <c:pt idx="1088" formatCode="0.000">
                  <c:v>87.423775196382977</c:v>
                </c:pt>
                <c:pt idx="1089" formatCode="0.000">
                  <c:v>87.47235737937838</c:v>
                </c:pt>
                <c:pt idx="1090" formatCode="0.000">
                  <c:v>87.539114813674075</c:v>
                </c:pt>
                <c:pt idx="1091" formatCode="0.000">
                  <c:v>87.586265831478244</c:v>
                </c:pt>
                <c:pt idx="1092" formatCode="0.000">
                  <c:v>87.873813396832261</c:v>
                </c:pt>
                <c:pt idx="1093" formatCode="0.000">
                  <c:v>87.974249829757056</c:v>
                </c:pt>
                <c:pt idx="1094" formatCode="0.000">
                  <c:v>88.100464639361121</c:v>
                </c:pt>
                <c:pt idx="1095" formatCode="0.000">
                  <c:v>88.287367490418063</c:v>
                </c:pt>
                <c:pt idx="1096" formatCode="0.000">
                  <c:v>88.369712642614672</c:v>
                </c:pt>
                <c:pt idx="1097" formatCode="0.000">
                  <c:v>88.343167002151645</c:v>
                </c:pt>
                <c:pt idx="1098" formatCode="0.000">
                  <c:v>88.401164065937195</c:v>
                </c:pt>
                <c:pt idx="1099" formatCode="0.000">
                  <c:v>88.50617758909388</c:v>
                </c:pt>
                <c:pt idx="1100" formatCode="0.000">
                  <c:v>88.553841694533105</c:v>
                </c:pt>
                <c:pt idx="1101" formatCode="0.000">
                  <c:v>88.602423877528494</c:v>
                </c:pt>
                <c:pt idx="1102" formatCode="0.000">
                  <c:v>88.66918131182419</c:v>
                </c:pt>
                <c:pt idx="1103" formatCode="0.000">
                  <c:v>88.716332329628358</c:v>
                </c:pt>
                <c:pt idx="1104" formatCode="0.000">
                  <c:v>89.003879894982376</c:v>
                </c:pt>
                <c:pt idx="1105" formatCode="0.000">
                  <c:v>89.104316327907185</c:v>
                </c:pt>
                <c:pt idx="1106" formatCode="0.000">
                  <c:v>89.23053113751125</c:v>
                </c:pt>
                <c:pt idx="1107" formatCode="0.000">
                  <c:v>89.417433988568177</c:v>
                </c:pt>
                <c:pt idx="1108" formatCode="0.000">
                  <c:v>89.499779140764787</c:v>
                </c:pt>
                <c:pt idx="1109" formatCode="0.000">
                  <c:v>89.473233500301774</c:v>
                </c:pt>
                <c:pt idx="1110" formatCode="0.000">
                  <c:v>89.531230564087323</c:v>
                </c:pt>
                <c:pt idx="1111" formatCode="0.000">
                  <c:v>89.636244087243995</c:v>
                </c:pt>
                <c:pt idx="1112" formatCode="0.000">
                  <c:v>89.683908192683219</c:v>
                </c:pt>
                <c:pt idx="1113" formatCode="0.000">
                  <c:v>89.732490375678609</c:v>
                </c:pt>
                <c:pt idx="1114" formatCode="0.000">
                  <c:v>89.799247809974304</c:v>
                </c:pt>
                <c:pt idx="1115" formatCode="0.000">
                  <c:v>89.846398827778486</c:v>
                </c:pt>
                <c:pt idx="1116" formatCode="0.000">
                  <c:v>90.133946393132504</c:v>
                </c:pt>
                <c:pt idx="1117" formatCode="0.000">
                  <c:v>90.234382826057299</c:v>
                </c:pt>
                <c:pt idx="1118" formatCode="0.000">
                  <c:v>90.360597635661364</c:v>
                </c:pt>
                <c:pt idx="1119" formatCode="0.000">
                  <c:v>90.547500486718306</c:v>
                </c:pt>
                <c:pt idx="1120" formatCode="0.000">
                  <c:v>90.629845638914915</c:v>
                </c:pt>
                <c:pt idx="1121" formatCode="0.000">
                  <c:v>90.603299998451888</c:v>
                </c:pt>
                <c:pt idx="1122" formatCode="0.000">
                  <c:v>90.661297062237438</c:v>
                </c:pt>
                <c:pt idx="1123" formatCode="0.000">
                  <c:v>90.766310585394109</c:v>
                </c:pt>
                <c:pt idx="1124" formatCode="0.000">
                  <c:v>90.813974690833334</c:v>
                </c:pt>
                <c:pt idx="1125" formatCode="0.000">
                  <c:v>90.862556873828723</c:v>
                </c:pt>
                <c:pt idx="1126" formatCode="0.000">
                  <c:v>90.929314308124432</c:v>
                </c:pt>
                <c:pt idx="1127" formatCode="0.000">
                  <c:v>90.976465325928601</c:v>
                </c:pt>
                <c:pt idx="1128" formatCode="0.000">
                  <c:v>91.264012891282619</c:v>
                </c:pt>
                <c:pt idx="1129" formatCode="0.000">
                  <c:v>91.364449324207413</c:v>
                </c:pt>
                <c:pt idx="1130" formatCode="0.000">
                  <c:v>91.490664133811492</c:v>
                </c:pt>
                <c:pt idx="1131" formatCode="0.000">
                  <c:v>91.67756698486842</c:v>
                </c:pt>
                <c:pt idx="1132" formatCode="0.000">
                  <c:v>91.759912137065029</c:v>
                </c:pt>
                <c:pt idx="1133" formatCode="0.000">
                  <c:v>91.733366496602002</c:v>
                </c:pt>
                <c:pt idx="1134" formatCode="0.000">
                  <c:v>91.791363560387552</c:v>
                </c:pt>
                <c:pt idx="1135" formatCode="0.000">
                  <c:v>91.896377083544223</c:v>
                </c:pt>
                <c:pt idx="1136" formatCode="0.000">
                  <c:v>91.944041188983462</c:v>
                </c:pt>
                <c:pt idx="1137" formatCode="0.000">
                  <c:v>91.992623371978851</c:v>
                </c:pt>
                <c:pt idx="1138" formatCode="0.000">
                  <c:v>92.059380806274547</c:v>
                </c:pt>
                <c:pt idx="1139" formatCode="0.000">
                  <c:v>92.106531824078715</c:v>
                </c:pt>
                <c:pt idx="1140" formatCode="0.000">
                  <c:v>92.394079389432747</c:v>
                </c:pt>
                <c:pt idx="1141" formatCode="0.000">
                  <c:v>92.494515822357542</c:v>
                </c:pt>
                <c:pt idx="1142" formatCode="0.000">
                  <c:v>92.620730631961607</c:v>
                </c:pt>
                <c:pt idx="1143" formatCode="0.000">
                  <c:v>92.807633483018535</c:v>
                </c:pt>
                <c:pt idx="1144" formatCode="0.000">
                  <c:v>92.889978635215144</c:v>
                </c:pt>
                <c:pt idx="1145" formatCode="0.000">
                  <c:v>92.863432994752117</c:v>
                </c:pt>
                <c:pt idx="1146" formatCode="0.000">
                  <c:v>92.92143005853768</c:v>
                </c:pt>
                <c:pt idx="1147" formatCode="0.000">
                  <c:v>93.026443581694352</c:v>
                </c:pt>
                <c:pt idx="1148" formatCode="0.000">
                  <c:v>93.074107687133576</c:v>
                </c:pt>
                <c:pt idx="1149" formatCode="0.000">
                  <c:v>93.122689870128966</c:v>
                </c:pt>
                <c:pt idx="1150" formatCode="0.000">
                  <c:v>93.189447304424675</c:v>
                </c:pt>
                <c:pt idx="1151" formatCode="0.000">
                  <c:v>93.236598322228843</c:v>
                </c:pt>
                <c:pt idx="1152" formatCode="0.000">
                  <c:v>93.524145887582861</c:v>
                </c:pt>
                <c:pt idx="1153" formatCode="0.000">
                  <c:v>93.624582320507656</c:v>
                </c:pt>
                <c:pt idx="1154" formatCode="0.000">
                  <c:v>93.750797130111721</c:v>
                </c:pt>
                <c:pt idx="1155" formatCode="0.000">
                  <c:v>93.937699981168649</c:v>
                </c:pt>
                <c:pt idx="1156" formatCode="0.000">
                  <c:v>94.020045133365258</c:v>
                </c:pt>
                <c:pt idx="1157" formatCode="0.000">
                  <c:v>93.993499492902245</c:v>
                </c:pt>
                <c:pt idx="1158" formatCode="0.000">
                  <c:v>94.051496556687795</c:v>
                </c:pt>
                <c:pt idx="1159" formatCode="0.000">
                  <c:v>94.156510079844466</c:v>
                </c:pt>
                <c:pt idx="1160" formatCode="0.000">
                  <c:v>94.204174185283705</c:v>
                </c:pt>
                <c:pt idx="1161" formatCode="0.000">
                  <c:v>94.252756368279094</c:v>
                </c:pt>
                <c:pt idx="1162" formatCode="0.000">
                  <c:v>94.319513802574789</c:v>
                </c:pt>
                <c:pt idx="1163" formatCode="0.000">
                  <c:v>94.366664820378958</c:v>
                </c:pt>
                <c:pt idx="1164" formatCode="0.000">
                  <c:v>94.654212385732976</c:v>
                </c:pt>
                <c:pt idx="1165" formatCode="0.000">
                  <c:v>94.75464881865777</c:v>
                </c:pt>
                <c:pt idx="1166" formatCode="0.000">
                  <c:v>94.880863628261835</c:v>
                </c:pt>
                <c:pt idx="1167" formatCode="0.000">
                  <c:v>95.067766479318777</c:v>
                </c:pt>
                <c:pt idx="1168" formatCode="0.000">
                  <c:v>95.150111631515387</c:v>
                </c:pt>
                <c:pt idx="1169" formatCode="0.000">
                  <c:v>95.123565991052359</c:v>
                </c:pt>
                <c:pt idx="1170" formatCode="0.000">
                  <c:v>95.181563054837909</c:v>
                </c:pt>
                <c:pt idx="1171" formatCode="0.000">
                  <c:v>95.286576577994595</c:v>
                </c:pt>
                <c:pt idx="1172" formatCode="0.000">
                  <c:v>95.334240683433819</c:v>
                </c:pt>
                <c:pt idx="1173" formatCode="0.000">
                  <c:v>95.382822866429208</c:v>
                </c:pt>
                <c:pt idx="1174" formatCode="0.000">
                  <c:v>95.449580300724904</c:v>
                </c:pt>
                <c:pt idx="1175" formatCode="0.000">
                  <c:v>95.496731318529072</c:v>
                </c:pt>
                <c:pt idx="1176" formatCode="0.000">
                  <c:v>95.78427888388309</c:v>
                </c:pt>
                <c:pt idx="1177" formatCode="0.000">
                  <c:v>95.884715316807899</c:v>
                </c:pt>
                <c:pt idx="1178" formatCode="0.000">
                  <c:v>96.010930126411964</c:v>
                </c:pt>
                <c:pt idx="1179" formatCode="0.000">
                  <c:v>96.197832977468892</c:v>
                </c:pt>
                <c:pt idx="1180" formatCode="0.000">
                  <c:v>96.280178129665501</c:v>
                </c:pt>
                <c:pt idx="1181" formatCode="0.000">
                  <c:v>96.253632489202488</c:v>
                </c:pt>
                <c:pt idx="1182" formatCode="0.000">
                  <c:v>96.311629552988038</c:v>
                </c:pt>
                <c:pt idx="1183" formatCode="0.000">
                  <c:v>96.416643076144709</c:v>
                </c:pt>
                <c:pt idx="1184" formatCode="0.000">
                  <c:v>96.464307181583933</c:v>
                </c:pt>
                <c:pt idx="1185" formatCode="0.000">
                  <c:v>96.512889364579323</c:v>
                </c:pt>
                <c:pt idx="1186" formatCode="0.000">
                  <c:v>96.579646798875018</c:v>
                </c:pt>
                <c:pt idx="1187" formatCode="0.000">
                  <c:v>96.626797816679201</c:v>
                </c:pt>
                <c:pt idx="1188" formatCode="0.000">
                  <c:v>96.914345382033218</c:v>
                </c:pt>
                <c:pt idx="1189" formatCode="0.000">
                  <c:v>97.014781814958013</c:v>
                </c:pt>
                <c:pt idx="1190" formatCode="0.000">
                  <c:v>97.140996624562078</c:v>
                </c:pt>
                <c:pt idx="1191" formatCode="0.000">
                  <c:v>97.32789947561902</c:v>
                </c:pt>
                <c:pt idx="1192" formatCode="0.000">
                  <c:v>97.410244627815629</c:v>
                </c:pt>
                <c:pt idx="1193" formatCode="0.000">
                  <c:v>97.383698987352602</c:v>
                </c:pt>
                <c:pt idx="1194" formatCode="0.000">
                  <c:v>97.441696051138152</c:v>
                </c:pt>
                <c:pt idx="1195" formatCode="0.000">
                  <c:v>97.546709574294823</c:v>
                </c:pt>
                <c:pt idx="1196" formatCode="0.000">
                  <c:v>97.594373679734048</c:v>
                </c:pt>
                <c:pt idx="1197" formatCode="0.000">
                  <c:v>97.642955862729451</c:v>
                </c:pt>
                <c:pt idx="1198" formatCode="0.000">
                  <c:v>97.709713297025147</c:v>
                </c:pt>
                <c:pt idx="1199" formatCode="0.000">
                  <c:v>97.756864314829315</c:v>
                </c:pt>
                <c:pt idx="1200" formatCode="0.000">
                  <c:v>98.044411880183333</c:v>
                </c:pt>
                <c:pt idx="1201" formatCode="0.000">
                  <c:v>98.144848313108142</c:v>
                </c:pt>
                <c:pt idx="1202" formatCode="0.000">
                  <c:v>98.271063122712206</c:v>
                </c:pt>
                <c:pt idx="1203" formatCode="0.000">
                  <c:v>98.457965973769134</c:v>
                </c:pt>
                <c:pt idx="1204" formatCode="0.000">
                  <c:v>98.540311125965744</c:v>
                </c:pt>
                <c:pt idx="1205" formatCode="0.000">
                  <c:v>98.513765485502717</c:v>
                </c:pt>
                <c:pt idx="1206" formatCode="0.000">
                  <c:v>98.571762549288266</c:v>
                </c:pt>
                <c:pt idx="1207" formatCode="0.000">
                  <c:v>98.676776072444937</c:v>
                </c:pt>
                <c:pt idx="1208" formatCode="0.000">
                  <c:v>98.724440177884176</c:v>
                </c:pt>
                <c:pt idx="1209" formatCode="0.000">
                  <c:v>98.773022360879565</c:v>
                </c:pt>
                <c:pt idx="1210" formatCode="0.000">
                  <c:v>98.839779795175261</c:v>
                </c:pt>
                <c:pt idx="1211" formatCode="0.000">
                  <c:v>98.886930812979429</c:v>
                </c:pt>
                <c:pt idx="1212" formatCode="0.000">
                  <c:v>99.174478378333461</c:v>
                </c:pt>
                <c:pt idx="1213" formatCode="0.000">
                  <c:v>99.274914811258256</c:v>
                </c:pt>
                <c:pt idx="1214" formatCode="0.000">
                  <c:v>99.401129620862321</c:v>
                </c:pt>
                <c:pt idx="1215" formatCode="0.000">
                  <c:v>99.588032471919249</c:v>
                </c:pt>
                <c:pt idx="1216" formatCode="0.000">
                  <c:v>99.670377624115858</c:v>
                </c:pt>
                <c:pt idx="1217" formatCode="0.000">
                  <c:v>99.643831983652831</c:v>
                </c:pt>
                <c:pt idx="1218" formatCode="0.000">
                  <c:v>99.701829047438395</c:v>
                </c:pt>
                <c:pt idx="1219" formatCode="0.000">
                  <c:v>99.806842570595066</c:v>
                </c:pt>
                <c:pt idx="1220" formatCode="0.000">
                  <c:v>99.854506676034291</c:v>
                </c:pt>
                <c:pt idx="1221" formatCode="0.000">
                  <c:v>99.90308885902968</c:v>
                </c:pt>
                <c:pt idx="1222" formatCode="0.000">
                  <c:v>99.969846293325389</c:v>
                </c:pt>
                <c:pt idx="1223" formatCode="0.000">
                  <c:v>100.01699731112956</c:v>
                </c:pt>
                <c:pt idx="1224" formatCode="0.000">
                  <c:v>100.30454487648358</c:v>
                </c:pt>
                <c:pt idx="1225" formatCode="0.000">
                  <c:v>100.40498130940837</c:v>
                </c:pt>
                <c:pt idx="1226" formatCode="0.000">
                  <c:v>100.53119611901244</c:v>
                </c:pt>
                <c:pt idx="1227" formatCode="0.000">
                  <c:v>100.71809897006936</c:v>
                </c:pt>
                <c:pt idx="1228" formatCode="0.000">
                  <c:v>100.80044412226599</c:v>
                </c:pt>
                <c:pt idx="1229" formatCode="0.000">
                  <c:v>100.77389848180296</c:v>
                </c:pt>
                <c:pt idx="1230" formatCode="0.000">
                  <c:v>100.83189554558851</c:v>
                </c:pt>
                <c:pt idx="1231" formatCode="0.000">
                  <c:v>100.93690906874518</c:v>
                </c:pt>
                <c:pt idx="1232" formatCode="0.000">
                  <c:v>100.98457317418442</c:v>
                </c:pt>
                <c:pt idx="1233" formatCode="0.000">
                  <c:v>101.03315535717981</c:v>
                </c:pt>
                <c:pt idx="1234" formatCode="0.000">
                  <c:v>101.0999127914755</c:v>
                </c:pt>
                <c:pt idx="1235" formatCode="0.000">
                  <c:v>101.14706380927967</c:v>
                </c:pt>
                <c:pt idx="1236" formatCode="0.000">
                  <c:v>101.43461137463369</c:v>
                </c:pt>
                <c:pt idx="1237" formatCode="0.000">
                  <c:v>101.53504780755848</c:v>
                </c:pt>
                <c:pt idx="1238" formatCode="0.000">
                  <c:v>101.66126261716256</c:v>
                </c:pt>
                <c:pt idx="1239" formatCode="0.000">
                  <c:v>101.84816546821949</c:v>
                </c:pt>
                <c:pt idx="1240" formatCode="0.000">
                  <c:v>101.9305106204161</c:v>
                </c:pt>
                <c:pt idx="1241" formatCode="0.000">
                  <c:v>101.90396497995307</c:v>
                </c:pt>
                <c:pt idx="1242" formatCode="0.000">
                  <c:v>101.96196204373864</c:v>
                </c:pt>
                <c:pt idx="1243" formatCode="0.000">
                  <c:v>102.06697556689531</c:v>
                </c:pt>
                <c:pt idx="1244" formatCode="0.000">
                  <c:v>102.11463967233453</c:v>
                </c:pt>
                <c:pt idx="1245" formatCode="0.000">
                  <c:v>102.16322185532992</c:v>
                </c:pt>
                <c:pt idx="1246" formatCode="0.000">
                  <c:v>102.22997928962562</c:v>
                </c:pt>
                <c:pt idx="1247" formatCode="0.000">
                  <c:v>102.27713030742979</c:v>
                </c:pt>
                <c:pt idx="1248" formatCode="0.000">
                  <c:v>102.5646778727838</c:v>
                </c:pt>
                <c:pt idx="1249" formatCode="0.000">
                  <c:v>102.66511430570861</c:v>
                </c:pt>
                <c:pt idx="1250" formatCode="0.000">
                  <c:v>102.79132911531268</c:v>
                </c:pt>
                <c:pt idx="1251" formatCode="0.000">
                  <c:v>102.97823196636961</c:v>
                </c:pt>
                <c:pt idx="1252" formatCode="0.000">
                  <c:v>103.06057711856623</c:v>
                </c:pt>
                <c:pt idx="1253" formatCode="0.000">
                  <c:v>103.0340314781032</c:v>
                </c:pt>
                <c:pt idx="1254" formatCode="0.000">
                  <c:v>103.09202854188875</c:v>
                </c:pt>
                <c:pt idx="1255" formatCode="0.000">
                  <c:v>103.19704206504542</c:v>
                </c:pt>
                <c:pt idx="1256" formatCode="0.000">
                  <c:v>103.24470617048465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E8-432B-BA74-D31F52CFF283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Lower Confidence Bound(WTISPLC)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Forecast!$A$2:$A$1258</c:f>
              <c:numCache>
                <c:formatCode>yyyy\-mm\-dd</c:formatCode>
                <c:ptCount val="1257"/>
                <c:pt idx="0">
                  <c:v>16803</c:v>
                </c:pt>
                <c:pt idx="1">
                  <c:v>16834</c:v>
                </c:pt>
                <c:pt idx="2">
                  <c:v>16862</c:v>
                </c:pt>
                <c:pt idx="3">
                  <c:v>16893</c:v>
                </c:pt>
                <c:pt idx="4">
                  <c:v>16923</c:v>
                </c:pt>
                <c:pt idx="5">
                  <c:v>16954</c:v>
                </c:pt>
                <c:pt idx="6">
                  <c:v>16984</c:v>
                </c:pt>
                <c:pt idx="7">
                  <c:v>17015</c:v>
                </c:pt>
                <c:pt idx="8">
                  <c:v>17046</c:v>
                </c:pt>
                <c:pt idx="9">
                  <c:v>17076</c:v>
                </c:pt>
                <c:pt idx="10">
                  <c:v>17107</c:v>
                </c:pt>
                <c:pt idx="11">
                  <c:v>17137</c:v>
                </c:pt>
                <c:pt idx="12">
                  <c:v>17168</c:v>
                </c:pt>
                <c:pt idx="13">
                  <c:v>17199</c:v>
                </c:pt>
                <c:pt idx="14">
                  <c:v>17227</c:v>
                </c:pt>
                <c:pt idx="15">
                  <c:v>17258</c:v>
                </c:pt>
                <c:pt idx="16">
                  <c:v>17288</c:v>
                </c:pt>
                <c:pt idx="17">
                  <c:v>17319</c:v>
                </c:pt>
                <c:pt idx="18">
                  <c:v>17349</c:v>
                </c:pt>
                <c:pt idx="19">
                  <c:v>17380</c:v>
                </c:pt>
                <c:pt idx="20">
                  <c:v>17411</c:v>
                </c:pt>
                <c:pt idx="21">
                  <c:v>17441</c:v>
                </c:pt>
                <c:pt idx="22">
                  <c:v>17472</c:v>
                </c:pt>
                <c:pt idx="23">
                  <c:v>17502</c:v>
                </c:pt>
                <c:pt idx="24">
                  <c:v>17533</c:v>
                </c:pt>
                <c:pt idx="25">
                  <c:v>17564</c:v>
                </c:pt>
                <c:pt idx="26">
                  <c:v>17593</c:v>
                </c:pt>
                <c:pt idx="27">
                  <c:v>17624</c:v>
                </c:pt>
                <c:pt idx="28">
                  <c:v>17654</c:v>
                </c:pt>
                <c:pt idx="29">
                  <c:v>17685</c:v>
                </c:pt>
                <c:pt idx="30">
                  <c:v>17715</c:v>
                </c:pt>
                <c:pt idx="31">
                  <c:v>17746</c:v>
                </c:pt>
                <c:pt idx="32">
                  <c:v>17777</c:v>
                </c:pt>
                <c:pt idx="33">
                  <c:v>17807</c:v>
                </c:pt>
                <c:pt idx="34">
                  <c:v>17838</c:v>
                </c:pt>
                <c:pt idx="35">
                  <c:v>17868</c:v>
                </c:pt>
                <c:pt idx="36">
                  <c:v>17899</c:v>
                </c:pt>
                <c:pt idx="37">
                  <c:v>17930</c:v>
                </c:pt>
                <c:pt idx="38">
                  <c:v>17958</c:v>
                </c:pt>
                <c:pt idx="39">
                  <c:v>17989</c:v>
                </c:pt>
                <c:pt idx="40">
                  <c:v>18019</c:v>
                </c:pt>
                <c:pt idx="41">
                  <c:v>18050</c:v>
                </c:pt>
                <c:pt idx="42">
                  <c:v>18080</c:v>
                </c:pt>
                <c:pt idx="43">
                  <c:v>18111</c:v>
                </c:pt>
                <c:pt idx="44">
                  <c:v>18142</c:v>
                </c:pt>
                <c:pt idx="45">
                  <c:v>18172</c:v>
                </c:pt>
                <c:pt idx="46">
                  <c:v>18203</c:v>
                </c:pt>
                <c:pt idx="47">
                  <c:v>18233</c:v>
                </c:pt>
                <c:pt idx="48">
                  <c:v>18264</c:v>
                </c:pt>
                <c:pt idx="49">
                  <c:v>18295</c:v>
                </c:pt>
                <c:pt idx="50">
                  <c:v>18323</c:v>
                </c:pt>
                <c:pt idx="51">
                  <c:v>18354</c:v>
                </c:pt>
                <c:pt idx="52">
                  <c:v>18384</c:v>
                </c:pt>
                <c:pt idx="53">
                  <c:v>18415</c:v>
                </c:pt>
                <c:pt idx="54">
                  <c:v>18445</c:v>
                </c:pt>
                <c:pt idx="55">
                  <c:v>18476</c:v>
                </c:pt>
                <c:pt idx="56">
                  <c:v>18507</c:v>
                </c:pt>
                <c:pt idx="57">
                  <c:v>18537</c:v>
                </c:pt>
                <c:pt idx="58">
                  <c:v>18568</c:v>
                </c:pt>
                <c:pt idx="59">
                  <c:v>18598</c:v>
                </c:pt>
                <c:pt idx="60">
                  <c:v>18629</c:v>
                </c:pt>
                <c:pt idx="61">
                  <c:v>18660</c:v>
                </c:pt>
                <c:pt idx="62">
                  <c:v>18688</c:v>
                </c:pt>
                <c:pt idx="63">
                  <c:v>18719</c:v>
                </c:pt>
                <c:pt idx="64">
                  <c:v>18749</c:v>
                </c:pt>
                <c:pt idx="65">
                  <c:v>18780</c:v>
                </c:pt>
                <c:pt idx="66">
                  <c:v>18810</c:v>
                </c:pt>
                <c:pt idx="67">
                  <c:v>18841</c:v>
                </c:pt>
                <c:pt idx="68">
                  <c:v>18872</c:v>
                </c:pt>
                <c:pt idx="69">
                  <c:v>18902</c:v>
                </c:pt>
                <c:pt idx="70">
                  <c:v>18933</c:v>
                </c:pt>
                <c:pt idx="71">
                  <c:v>18963</c:v>
                </c:pt>
                <c:pt idx="72">
                  <c:v>18994</c:v>
                </c:pt>
                <c:pt idx="73">
                  <c:v>19025</c:v>
                </c:pt>
                <c:pt idx="74">
                  <c:v>19054</c:v>
                </c:pt>
                <c:pt idx="75">
                  <c:v>19085</c:v>
                </c:pt>
                <c:pt idx="76">
                  <c:v>19115</c:v>
                </c:pt>
                <c:pt idx="77">
                  <c:v>19146</c:v>
                </c:pt>
                <c:pt idx="78">
                  <c:v>19176</c:v>
                </c:pt>
                <c:pt idx="79">
                  <c:v>19207</c:v>
                </c:pt>
                <c:pt idx="80">
                  <c:v>19238</c:v>
                </c:pt>
                <c:pt idx="81">
                  <c:v>19268</c:v>
                </c:pt>
                <c:pt idx="82">
                  <c:v>19299</c:v>
                </c:pt>
                <c:pt idx="83">
                  <c:v>19329</c:v>
                </c:pt>
                <c:pt idx="84">
                  <c:v>19360</c:v>
                </c:pt>
                <c:pt idx="85">
                  <c:v>19391</c:v>
                </c:pt>
                <c:pt idx="86">
                  <c:v>19419</c:v>
                </c:pt>
                <c:pt idx="87">
                  <c:v>19450</c:v>
                </c:pt>
                <c:pt idx="88">
                  <c:v>19480</c:v>
                </c:pt>
                <c:pt idx="89">
                  <c:v>19511</c:v>
                </c:pt>
                <c:pt idx="90">
                  <c:v>19541</c:v>
                </c:pt>
                <c:pt idx="91">
                  <c:v>19572</c:v>
                </c:pt>
                <c:pt idx="92">
                  <c:v>19603</c:v>
                </c:pt>
                <c:pt idx="93">
                  <c:v>19633</c:v>
                </c:pt>
                <c:pt idx="94">
                  <c:v>19664</c:v>
                </c:pt>
                <c:pt idx="95">
                  <c:v>19694</c:v>
                </c:pt>
                <c:pt idx="96">
                  <c:v>19725</c:v>
                </c:pt>
                <c:pt idx="97">
                  <c:v>19756</c:v>
                </c:pt>
                <c:pt idx="98">
                  <c:v>19784</c:v>
                </c:pt>
                <c:pt idx="99">
                  <c:v>19815</c:v>
                </c:pt>
                <c:pt idx="100">
                  <c:v>19845</c:v>
                </c:pt>
                <c:pt idx="101">
                  <c:v>19876</c:v>
                </c:pt>
                <c:pt idx="102">
                  <c:v>19906</c:v>
                </c:pt>
                <c:pt idx="103">
                  <c:v>19937</c:v>
                </c:pt>
                <c:pt idx="104">
                  <c:v>19968</c:v>
                </c:pt>
                <c:pt idx="105">
                  <c:v>19998</c:v>
                </c:pt>
                <c:pt idx="106">
                  <c:v>20029</c:v>
                </c:pt>
                <c:pt idx="107">
                  <c:v>20059</c:v>
                </c:pt>
                <c:pt idx="108">
                  <c:v>20090</c:v>
                </c:pt>
                <c:pt idx="109">
                  <c:v>20121</c:v>
                </c:pt>
                <c:pt idx="110">
                  <c:v>20149</c:v>
                </c:pt>
                <c:pt idx="111">
                  <c:v>20180</c:v>
                </c:pt>
                <c:pt idx="112">
                  <c:v>20210</c:v>
                </c:pt>
                <c:pt idx="113">
                  <c:v>20241</c:v>
                </c:pt>
                <c:pt idx="114">
                  <c:v>20271</c:v>
                </c:pt>
                <c:pt idx="115">
                  <c:v>20302</c:v>
                </c:pt>
                <c:pt idx="116">
                  <c:v>20333</c:v>
                </c:pt>
                <c:pt idx="117">
                  <c:v>20363</c:v>
                </c:pt>
                <c:pt idx="118">
                  <c:v>20394</c:v>
                </c:pt>
                <c:pt idx="119">
                  <c:v>20424</c:v>
                </c:pt>
                <c:pt idx="120">
                  <c:v>20455</c:v>
                </c:pt>
                <c:pt idx="121">
                  <c:v>20486</c:v>
                </c:pt>
                <c:pt idx="122">
                  <c:v>20515</c:v>
                </c:pt>
                <c:pt idx="123">
                  <c:v>20546</c:v>
                </c:pt>
                <c:pt idx="124">
                  <c:v>20576</c:v>
                </c:pt>
                <c:pt idx="125">
                  <c:v>20607</c:v>
                </c:pt>
                <c:pt idx="126">
                  <c:v>20637</c:v>
                </c:pt>
                <c:pt idx="127">
                  <c:v>20668</c:v>
                </c:pt>
                <c:pt idx="128">
                  <c:v>20699</c:v>
                </c:pt>
                <c:pt idx="129">
                  <c:v>20729</c:v>
                </c:pt>
                <c:pt idx="130">
                  <c:v>20760</c:v>
                </c:pt>
                <c:pt idx="131">
                  <c:v>20790</c:v>
                </c:pt>
                <c:pt idx="132">
                  <c:v>20821</c:v>
                </c:pt>
                <c:pt idx="133">
                  <c:v>20852</c:v>
                </c:pt>
                <c:pt idx="134">
                  <c:v>20880</c:v>
                </c:pt>
                <c:pt idx="135">
                  <c:v>20911</c:v>
                </c:pt>
                <c:pt idx="136">
                  <c:v>20941</c:v>
                </c:pt>
                <c:pt idx="137">
                  <c:v>20972</c:v>
                </c:pt>
                <c:pt idx="138">
                  <c:v>21002</c:v>
                </c:pt>
                <c:pt idx="139">
                  <c:v>21033</c:v>
                </c:pt>
                <c:pt idx="140">
                  <c:v>21064</c:v>
                </c:pt>
                <c:pt idx="141">
                  <c:v>21094</c:v>
                </c:pt>
                <c:pt idx="142">
                  <c:v>21125</c:v>
                </c:pt>
                <c:pt idx="143">
                  <c:v>21155</c:v>
                </c:pt>
                <c:pt idx="144">
                  <c:v>21186</c:v>
                </c:pt>
                <c:pt idx="145">
                  <c:v>21217</c:v>
                </c:pt>
                <c:pt idx="146">
                  <c:v>21245</c:v>
                </c:pt>
                <c:pt idx="147">
                  <c:v>21276</c:v>
                </c:pt>
                <c:pt idx="148">
                  <c:v>21306</c:v>
                </c:pt>
                <c:pt idx="149">
                  <c:v>21337</c:v>
                </c:pt>
                <c:pt idx="150">
                  <c:v>21367</c:v>
                </c:pt>
                <c:pt idx="151">
                  <c:v>21398</c:v>
                </c:pt>
                <c:pt idx="152">
                  <c:v>21429</c:v>
                </c:pt>
                <c:pt idx="153">
                  <c:v>21459</c:v>
                </c:pt>
                <c:pt idx="154">
                  <c:v>21490</c:v>
                </c:pt>
                <c:pt idx="155">
                  <c:v>21520</c:v>
                </c:pt>
                <c:pt idx="156">
                  <c:v>21551</c:v>
                </c:pt>
                <c:pt idx="157">
                  <c:v>21582</c:v>
                </c:pt>
                <c:pt idx="158">
                  <c:v>21610</c:v>
                </c:pt>
                <c:pt idx="159">
                  <c:v>21641</c:v>
                </c:pt>
                <c:pt idx="160">
                  <c:v>21671</c:v>
                </c:pt>
                <c:pt idx="161">
                  <c:v>21702</c:v>
                </c:pt>
                <c:pt idx="162">
                  <c:v>21732</c:v>
                </c:pt>
                <c:pt idx="163">
                  <c:v>21763</c:v>
                </c:pt>
                <c:pt idx="164">
                  <c:v>21794</c:v>
                </c:pt>
                <c:pt idx="165">
                  <c:v>21824</c:v>
                </c:pt>
                <c:pt idx="166">
                  <c:v>21855</c:v>
                </c:pt>
                <c:pt idx="167">
                  <c:v>21885</c:v>
                </c:pt>
                <c:pt idx="168">
                  <c:v>21916</c:v>
                </c:pt>
                <c:pt idx="169">
                  <c:v>21947</c:v>
                </c:pt>
                <c:pt idx="170">
                  <c:v>21976</c:v>
                </c:pt>
                <c:pt idx="171">
                  <c:v>22007</c:v>
                </c:pt>
                <c:pt idx="172">
                  <c:v>22037</c:v>
                </c:pt>
                <c:pt idx="173">
                  <c:v>22068</c:v>
                </c:pt>
                <c:pt idx="174">
                  <c:v>22098</c:v>
                </c:pt>
                <c:pt idx="175">
                  <c:v>22129</c:v>
                </c:pt>
                <c:pt idx="176">
                  <c:v>22160</c:v>
                </c:pt>
                <c:pt idx="177">
                  <c:v>22190</c:v>
                </c:pt>
                <c:pt idx="178">
                  <c:v>22221</c:v>
                </c:pt>
                <c:pt idx="179">
                  <c:v>22251</c:v>
                </c:pt>
                <c:pt idx="180">
                  <c:v>22282</c:v>
                </c:pt>
                <c:pt idx="181">
                  <c:v>22313</c:v>
                </c:pt>
                <c:pt idx="182">
                  <c:v>22341</c:v>
                </c:pt>
                <c:pt idx="183">
                  <c:v>22372</c:v>
                </c:pt>
                <c:pt idx="184">
                  <c:v>22402</c:v>
                </c:pt>
                <c:pt idx="185">
                  <c:v>22433</c:v>
                </c:pt>
                <c:pt idx="186">
                  <c:v>22463</c:v>
                </c:pt>
                <c:pt idx="187">
                  <c:v>22494</c:v>
                </c:pt>
                <c:pt idx="188">
                  <c:v>22525</c:v>
                </c:pt>
                <c:pt idx="189">
                  <c:v>22555</c:v>
                </c:pt>
                <c:pt idx="190">
                  <c:v>22586</c:v>
                </c:pt>
                <c:pt idx="191">
                  <c:v>22616</c:v>
                </c:pt>
                <c:pt idx="192">
                  <c:v>22647</c:v>
                </c:pt>
                <c:pt idx="193">
                  <c:v>22678</c:v>
                </c:pt>
                <c:pt idx="194">
                  <c:v>22706</c:v>
                </c:pt>
                <c:pt idx="195">
                  <c:v>22737</c:v>
                </c:pt>
                <c:pt idx="196">
                  <c:v>22767</c:v>
                </c:pt>
                <c:pt idx="197">
                  <c:v>22798</c:v>
                </c:pt>
                <c:pt idx="198">
                  <c:v>22828</c:v>
                </c:pt>
                <c:pt idx="199">
                  <c:v>22859</c:v>
                </c:pt>
                <c:pt idx="200">
                  <c:v>22890</c:v>
                </c:pt>
                <c:pt idx="201">
                  <c:v>22920</c:v>
                </c:pt>
                <c:pt idx="202">
                  <c:v>22951</c:v>
                </c:pt>
                <c:pt idx="203">
                  <c:v>22981</c:v>
                </c:pt>
                <c:pt idx="204">
                  <c:v>23012</c:v>
                </c:pt>
                <c:pt idx="205">
                  <c:v>23043</c:v>
                </c:pt>
                <c:pt idx="206">
                  <c:v>23071</c:v>
                </c:pt>
                <c:pt idx="207">
                  <c:v>23102</c:v>
                </c:pt>
                <c:pt idx="208">
                  <c:v>23132</c:v>
                </c:pt>
                <c:pt idx="209">
                  <c:v>23163</c:v>
                </c:pt>
                <c:pt idx="210">
                  <c:v>23193</c:v>
                </c:pt>
                <c:pt idx="211">
                  <c:v>23224</c:v>
                </c:pt>
                <c:pt idx="212">
                  <c:v>23255</c:v>
                </c:pt>
                <c:pt idx="213">
                  <c:v>23285</c:v>
                </c:pt>
                <c:pt idx="214">
                  <c:v>23316</c:v>
                </c:pt>
                <c:pt idx="215">
                  <c:v>23346</c:v>
                </c:pt>
                <c:pt idx="216">
                  <c:v>23377</c:v>
                </c:pt>
                <c:pt idx="217">
                  <c:v>23408</c:v>
                </c:pt>
                <c:pt idx="218">
                  <c:v>23437</c:v>
                </c:pt>
                <c:pt idx="219">
                  <c:v>23468</c:v>
                </c:pt>
                <c:pt idx="220">
                  <c:v>23498</c:v>
                </c:pt>
                <c:pt idx="221">
                  <c:v>23529</c:v>
                </c:pt>
                <c:pt idx="222">
                  <c:v>23559</c:v>
                </c:pt>
                <c:pt idx="223">
                  <c:v>23590</c:v>
                </c:pt>
                <c:pt idx="224">
                  <c:v>23621</c:v>
                </c:pt>
                <c:pt idx="225">
                  <c:v>23651</c:v>
                </c:pt>
                <c:pt idx="226">
                  <c:v>23682</c:v>
                </c:pt>
                <c:pt idx="227">
                  <c:v>23712</c:v>
                </c:pt>
                <c:pt idx="228">
                  <c:v>23743</c:v>
                </c:pt>
                <c:pt idx="229">
                  <c:v>23774</c:v>
                </c:pt>
                <c:pt idx="230">
                  <c:v>23802</c:v>
                </c:pt>
                <c:pt idx="231">
                  <c:v>23833</c:v>
                </c:pt>
                <c:pt idx="232">
                  <c:v>23863</c:v>
                </c:pt>
                <c:pt idx="233">
                  <c:v>23894</c:v>
                </c:pt>
                <c:pt idx="234">
                  <c:v>23924</c:v>
                </c:pt>
                <c:pt idx="235">
                  <c:v>23955</c:v>
                </c:pt>
                <c:pt idx="236">
                  <c:v>23986</c:v>
                </c:pt>
                <c:pt idx="237">
                  <c:v>24016</c:v>
                </c:pt>
                <c:pt idx="238">
                  <c:v>24047</c:v>
                </c:pt>
                <c:pt idx="239">
                  <c:v>24077</c:v>
                </c:pt>
                <c:pt idx="240">
                  <c:v>24108</c:v>
                </c:pt>
                <c:pt idx="241">
                  <c:v>24139</c:v>
                </c:pt>
                <c:pt idx="242">
                  <c:v>24167</c:v>
                </c:pt>
                <c:pt idx="243">
                  <c:v>24198</c:v>
                </c:pt>
                <c:pt idx="244">
                  <c:v>24228</c:v>
                </c:pt>
                <c:pt idx="245">
                  <c:v>24259</c:v>
                </c:pt>
                <c:pt idx="246">
                  <c:v>24289</c:v>
                </c:pt>
                <c:pt idx="247">
                  <c:v>24320</c:v>
                </c:pt>
                <c:pt idx="248">
                  <c:v>24351</c:v>
                </c:pt>
                <c:pt idx="249">
                  <c:v>24381</c:v>
                </c:pt>
                <c:pt idx="250">
                  <c:v>24412</c:v>
                </c:pt>
                <c:pt idx="251">
                  <c:v>24442</c:v>
                </c:pt>
                <c:pt idx="252">
                  <c:v>24473</c:v>
                </c:pt>
                <c:pt idx="253">
                  <c:v>24504</c:v>
                </c:pt>
                <c:pt idx="254">
                  <c:v>24532</c:v>
                </c:pt>
                <c:pt idx="255">
                  <c:v>24563</c:v>
                </c:pt>
                <c:pt idx="256">
                  <c:v>24593</c:v>
                </c:pt>
                <c:pt idx="257">
                  <c:v>24624</c:v>
                </c:pt>
                <c:pt idx="258">
                  <c:v>24654</c:v>
                </c:pt>
                <c:pt idx="259">
                  <c:v>24685</c:v>
                </c:pt>
                <c:pt idx="260">
                  <c:v>24716</c:v>
                </c:pt>
                <c:pt idx="261">
                  <c:v>24746</c:v>
                </c:pt>
                <c:pt idx="262">
                  <c:v>24777</c:v>
                </c:pt>
                <c:pt idx="263">
                  <c:v>24807</c:v>
                </c:pt>
                <c:pt idx="264">
                  <c:v>24838</c:v>
                </c:pt>
                <c:pt idx="265">
                  <c:v>24869</c:v>
                </c:pt>
                <c:pt idx="266">
                  <c:v>24898</c:v>
                </c:pt>
                <c:pt idx="267">
                  <c:v>24929</c:v>
                </c:pt>
                <c:pt idx="268">
                  <c:v>24959</c:v>
                </c:pt>
                <c:pt idx="269">
                  <c:v>24990</c:v>
                </c:pt>
                <c:pt idx="270">
                  <c:v>25020</c:v>
                </c:pt>
                <c:pt idx="271">
                  <c:v>25051</c:v>
                </c:pt>
                <c:pt idx="272">
                  <c:v>25082</c:v>
                </c:pt>
                <c:pt idx="273">
                  <c:v>25112</c:v>
                </c:pt>
                <c:pt idx="274">
                  <c:v>25143</c:v>
                </c:pt>
                <c:pt idx="275">
                  <c:v>25173</c:v>
                </c:pt>
                <c:pt idx="276">
                  <c:v>25204</c:v>
                </c:pt>
                <c:pt idx="277">
                  <c:v>25235</c:v>
                </c:pt>
                <c:pt idx="278">
                  <c:v>25263</c:v>
                </c:pt>
                <c:pt idx="279">
                  <c:v>25294</c:v>
                </c:pt>
                <c:pt idx="280">
                  <c:v>25324</c:v>
                </c:pt>
                <c:pt idx="281">
                  <c:v>25355</c:v>
                </c:pt>
                <c:pt idx="282">
                  <c:v>25385</c:v>
                </c:pt>
                <c:pt idx="283">
                  <c:v>25416</c:v>
                </c:pt>
                <c:pt idx="284">
                  <c:v>25447</c:v>
                </c:pt>
                <c:pt idx="285">
                  <c:v>25477</c:v>
                </c:pt>
                <c:pt idx="286">
                  <c:v>25508</c:v>
                </c:pt>
                <c:pt idx="287">
                  <c:v>25538</c:v>
                </c:pt>
                <c:pt idx="288">
                  <c:v>25569</c:v>
                </c:pt>
                <c:pt idx="289">
                  <c:v>25600</c:v>
                </c:pt>
                <c:pt idx="290">
                  <c:v>25628</c:v>
                </c:pt>
                <c:pt idx="291">
                  <c:v>25659</c:v>
                </c:pt>
                <c:pt idx="292">
                  <c:v>25689</c:v>
                </c:pt>
                <c:pt idx="293">
                  <c:v>25720</c:v>
                </c:pt>
                <c:pt idx="294">
                  <c:v>25750</c:v>
                </c:pt>
                <c:pt idx="295">
                  <c:v>25781</c:v>
                </c:pt>
                <c:pt idx="296">
                  <c:v>25812</c:v>
                </c:pt>
                <c:pt idx="297">
                  <c:v>25842</c:v>
                </c:pt>
                <c:pt idx="298">
                  <c:v>25873</c:v>
                </c:pt>
                <c:pt idx="299">
                  <c:v>25903</c:v>
                </c:pt>
                <c:pt idx="300">
                  <c:v>25934</c:v>
                </c:pt>
                <c:pt idx="301">
                  <c:v>25965</c:v>
                </c:pt>
                <c:pt idx="302">
                  <c:v>25993</c:v>
                </c:pt>
                <c:pt idx="303">
                  <c:v>26024</c:v>
                </c:pt>
                <c:pt idx="304">
                  <c:v>26054</c:v>
                </c:pt>
                <c:pt idx="305">
                  <c:v>26085</c:v>
                </c:pt>
                <c:pt idx="306">
                  <c:v>26115</c:v>
                </c:pt>
                <c:pt idx="307">
                  <c:v>26146</c:v>
                </c:pt>
                <c:pt idx="308">
                  <c:v>26177</c:v>
                </c:pt>
                <c:pt idx="309">
                  <c:v>26207</c:v>
                </c:pt>
                <c:pt idx="310">
                  <c:v>26238</c:v>
                </c:pt>
                <c:pt idx="311">
                  <c:v>26268</c:v>
                </c:pt>
                <c:pt idx="312">
                  <c:v>26299</c:v>
                </c:pt>
                <c:pt idx="313">
                  <c:v>26330</c:v>
                </c:pt>
                <c:pt idx="314">
                  <c:v>26359</c:v>
                </c:pt>
                <c:pt idx="315">
                  <c:v>26390</c:v>
                </c:pt>
                <c:pt idx="316">
                  <c:v>26420</c:v>
                </c:pt>
                <c:pt idx="317">
                  <c:v>26451</c:v>
                </c:pt>
                <c:pt idx="318">
                  <c:v>26481</c:v>
                </c:pt>
                <c:pt idx="319">
                  <c:v>26512</c:v>
                </c:pt>
                <c:pt idx="320">
                  <c:v>26543</c:v>
                </c:pt>
                <c:pt idx="321">
                  <c:v>26573</c:v>
                </c:pt>
                <c:pt idx="322">
                  <c:v>26604</c:v>
                </c:pt>
                <c:pt idx="323">
                  <c:v>26634</c:v>
                </c:pt>
                <c:pt idx="324">
                  <c:v>26665</c:v>
                </c:pt>
                <c:pt idx="325">
                  <c:v>26696</c:v>
                </c:pt>
                <c:pt idx="326">
                  <c:v>26724</c:v>
                </c:pt>
                <c:pt idx="327">
                  <c:v>26755</c:v>
                </c:pt>
                <c:pt idx="328">
                  <c:v>26785</c:v>
                </c:pt>
                <c:pt idx="329">
                  <c:v>26816</c:v>
                </c:pt>
                <c:pt idx="330">
                  <c:v>26846</c:v>
                </c:pt>
                <c:pt idx="331">
                  <c:v>26877</c:v>
                </c:pt>
                <c:pt idx="332">
                  <c:v>26908</c:v>
                </c:pt>
                <c:pt idx="333">
                  <c:v>26938</c:v>
                </c:pt>
                <c:pt idx="334">
                  <c:v>26969</c:v>
                </c:pt>
                <c:pt idx="335">
                  <c:v>26999</c:v>
                </c:pt>
                <c:pt idx="336">
                  <c:v>27030</c:v>
                </c:pt>
                <c:pt idx="337">
                  <c:v>27061</c:v>
                </c:pt>
                <c:pt idx="338">
                  <c:v>27089</c:v>
                </c:pt>
                <c:pt idx="339">
                  <c:v>27120</c:v>
                </c:pt>
                <c:pt idx="340">
                  <c:v>27150</c:v>
                </c:pt>
                <c:pt idx="341">
                  <c:v>27181</c:v>
                </c:pt>
                <c:pt idx="342">
                  <c:v>27211</c:v>
                </c:pt>
                <c:pt idx="343">
                  <c:v>27242</c:v>
                </c:pt>
                <c:pt idx="344">
                  <c:v>27273</c:v>
                </c:pt>
                <c:pt idx="345">
                  <c:v>27303</c:v>
                </c:pt>
                <c:pt idx="346">
                  <c:v>27334</c:v>
                </c:pt>
                <c:pt idx="347">
                  <c:v>27364</c:v>
                </c:pt>
                <c:pt idx="348">
                  <c:v>27395</c:v>
                </c:pt>
                <c:pt idx="349">
                  <c:v>27426</c:v>
                </c:pt>
                <c:pt idx="350">
                  <c:v>27454</c:v>
                </c:pt>
                <c:pt idx="351">
                  <c:v>27485</c:v>
                </c:pt>
                <c:pt idx="352">
                  <c:v>27515</c:v>
                </c:pt>
                <c:pt idx="353">
                  <c:v>27546</c:v>
                </c:pt>
                <c:pt idx="354">
                  <c:v>27576</c:v>
                </c:pt>
                <c:pt idx="355">
                  <c:v>27607</c:v>
                </c:pt>
                <c:pt idx="356">
                  <c:v>27638</c:v>
                </c:pt>
                <c:pt idx="357">
                  <c:v>27668</c:v>
                </c:pt>
                <c:pt idx="358">
                  <c:v>27699</c:v>
                </c:pt>
                <c:pt idx="359">
                  <c:v>27729</c:v>
                </c:pt>
                <c:pt idx="360">
                  <c:v>27760</c:v>
                </c:pt>
                <c:pt idx="361">
                  <c:v>27791</c:v>
                </c:pt>
                <c:pt idx="362">
                  <c:v>27820</c:v>
                </c:pt>
                <c:pt idx="363">
                  <c:v>27851</c:v>
                </c:pt>
                <c:pt idx="364">
                  <c:v>27881</c:v>
                </c:pt>
                <c:pt idx="365">
                  <c:v>27912</c:v>
                </c:pt>
                <c:pt idx="366">
                  <c:v>27942</c:v>
                </c:pt>
                <c:pt idx="367">
                  <c:v>27973</c:v>
                </c:pt>
                <c:pt idx="368">
                  <c:v>28004</c:v>
                </c:pt>
                <c:pt idx="369">
                  <c:v>28034</c:v>
                </c:pt>
                <c:pt idx="370">
                  <c:v>28065</c:v>
                </c:pt>
                <c:pt idx="371">
                  <c:v>28095</c:v>
                </c:pt>
                <c:pt idx="372">
                  <c:v>28126</c:v>
                </c:pt>
                <c:pt idx="373">
                  <c:v>28157</c:v>
                </c:pt>
                <c:pt idx="374">
                  <c:v>28185</c:v>
                </c:pt>
                <c:pt idx="375">
                  <c:v>28216</c:v>
                </c:pt>
                <c:pt idx="376">
                  <c:v>28246</c:v>
                </c:pt>
                <c:pt idx="377">
                  <c:v>28277</c:v>
                </c:pt>
                <c:pt idx="378">
                  <c:v>28307</c:v>
                </c:pt>
                <c:pt idx="379">
                  <c:v>28338</c:v>
                </c:pt>
                <c:pt idx="380">
                  <c:v>28369</c:v>
                </c:pt>
                <c:pt idx="381">
                  <c:v>28399</c:v>
                </c:pt>
                <c:pt idx="382">
                  <c:v>28430</c:v>
                </c:pt>
                <c:pt idx="383">
                  <c:v>28460</c:v>
                </c:pt>
                <c:pt idx="384">
                  <c:v>28491</c:v>
                </c:pt>
                <c:pt idx="385">
                  <c:v>28522</c:v>
                </c:pt>
                <c:pt idx="386">
                  <c:v>28550</c:v>
                </c:pt>
                <c:pt idx="387">
                  <c:v>28581</c:v>
                </c:pt>
                <c:pt idx="388">
                  <c:v>28611</c:v>
                </c:pt>
                <c:pt idx="389">
                  <c:v>28642</c:v>
                </c:pt>
                <c:pt idx="390">
                  <c:v>28672</c:v>
                </c:pt>
                <c:pt idx="391">
                  <c:v>28703</c:v>
                </c:pt>
                <c:pt idx="392">
                  <c:v>28734</c:v>
                </c:pt>
                <c:pt idx="393">
                  <c:v>28764</c:v>
                </c:pt>
                <c:pt idx="394">
                  <c:v>28795</c:v>
                </c:pt>
                <c:pt idx="395">
                  <c:v>28825</c:v>
                </c:pt>
                <c:pt idx="396">
                  <c:v>28856</c:v>
                </c:pt>
                <c:pt idx="397">
                  <c:v>28887</c:v>
                </c:pt>
                <c:pt idx="398">
                  <c:v>28915</c:v>
                </c:pt>
                <c:pt idx="399">
                  <c:v>28946</c:v>
                </c:pt>
                <c:pt idx="400">
                  <c:v>28976</c:v>
                </c:pt>
                <c:pt idx="401">
                  <c:v>29007</c:v>
                </c:pt>
                <c:pt idx="402">
                  <c:v>29037</c:v>
                </c:pt>
                <c:pt idx="403">
                  <c:v>29068</c:v>
                </c:pt>
                <c:pt idx="404">
                  <c:v>29099</c:v>
                </c:pt>
                <c:pt idx="405">
                  <c:v>29129</c:v>
                </c:pt>
                <c:pt idx="406">
                  <c:v>29160</c:v>
                </c:pt>
                <c:pt idx="407">
                  <c:v>29190</c:v>
                </c:pt>
                <c:pt idx="408">
                  <c:v>29221</c:v>
                </c:pt>
                <c:pt idx="409">
                  <c:v>29252</c:v>
                </c:pt>
                <c:pt idx="410">
                  <c:v>29281</c:v>
                </c:pt>
                <c:pt idx="411">
                  <c:v>29312</c:v>
                </c:pt>
                <c:pt idx="412">
                  <c:v>29342</c:v>
                </c:pt>
                <c:pt idx="413">
                  <c:v>29373</c:v>
                </c:pt>
                <c:pt idx="414">
                  <c:v>29403</c:v>
                </c:pt>
                <c:pt idx="415">
                  <c:v>29434</c:v>
                </c:pt>
                <c:pt idx="416">
                  <c:v>29465</c:v>
                </c:pt>
                <c:pt idx="417">
                  <c:v>29495</c:v>
                </c:pt>
                <c:pt idx="418">
                  <c:v>29526</c:v>
                </c:pt>
                <c:pt idx="419">
                  <c:v>29556</c:v>
                </c:pt>
                <c:pt idx="420">
                  <c:v>29587</c:v>
                </c:pt>
                <c:pt idx="421">
                  <c:v>29618</c:v>
                </c:pt>
                <c:pt idx="422">
                  <c:v>29646</c:v>
                </c:pt>
                <c:pt idx="423">
                  <c:v>29677</c:v>
                </c:pt>
                <c:pt idx="424">
                  <c:v>29707</c:v>
                </c:pt>
                <c:pt idx="425">
                  <c:v>29738</c:v>
                </c:pt>
                <c:pt idx="426">
                  <c:v>29768</c:v>
                </c:pt>
                <c:pt idx="427">
                  <c:v>29799</c:v>
                </c:pt>
                <c:pt idx="428">
                  <c:v>29830</c:v>
                </c:pt>
                <c:pt idx="429">
                  <c:v>29860</c:v>
                </c:pt>
                <c:pt idx="430">
                  <c:v>29891</c:v>
                </c:pt>
                <c:pt idx="431">
                  <c:v>29921</c:v>
                </c:pt>
                <c:pt idx="432">
                  <c:v>29952</c:v>
                </c:pt>
                <c:pt idx="433">
                  <c:v>29983</c:v>
                </c:pt>
                <c:pt idx="434">
                  <c:v>30011</c:v>
                </c:pt>
                <c:pt idx="435">
                  <c:v>30042</c:v>
                </c:pt>
                <c:pt idx="436">
                  <c:v>30072</c:v>
                </c:pt>
                <c:pt idx="437">
                  <c:v>30103</c:v>
                </c:pt>
                <c:pt idx="438">
                  <c:v>30133</c:v>
                </c:pt>
                <c:pt idx="439">
                  <c:v>30164</c:v>
                </c:pt>
                <c:pt idx="440">
                  <c:v>30195</c:v>
                </c:pt>
                <c:pt idx="441">
                  <c:v>30225</c:v>
                </c:pt>
                <c:pt idx="442">
                  <c:v>30256</c:v>
                </c:pt>
                <c:pt idx="443">
                  <c:v>30286</c:v>
                </c:pt>
                <c:pt idx="444">
                  <c:v>30317</c:v>
                </c:pt>
                <c:pt idx="445">
                  <c:v>30348</c:v>
                </c:pt>
                <c:pt idx="446">
                  <c:v>30376</c:v>
                </c:pt>
                <c:pt idx="447">
                  <c:v>30407</c:v>
                </c:pt>
                <c:pt idx="448">
                  <c:v>30437</c:v>
                </c:pt>
                <c:pt idx="449">
                  <c:v>30468</c:v>
                </c:pt>
                <c:pt idx="450">
                  <c:v>30498</c:v>
                </c:pt>
                <c:pt idx="451">
                  <c:v>30529</c:v>
                </c:pt>
                <c:pt idx="452">
                  <c:v>30560</c:v>
                </c:pt>
                <c:pt idx="453">
                  <c:v>30590</c:v>
                </c:pt>
                <c:pt idx="454">
                  <c:v>30621</c:v>
                </c:pt>
                <c:pt idx="455">
                  <c:v>30651</c:v>
                </c:pt>
                <c:pt idx="456">
                  <c:v>30682</c:v>
                </c:pt>
                <c:pt idx="457">
                  <c:v>30713</c:v>
                </c:pt>
                <c:pt idx="458">
                  <c:v>30742</c:v>
                </c:pt>
                <c:pt idx="459">
                  <c:v>30773</c:v>
                </c:pt>
                <c:pt idx="460">
                  <c:v>30803</c:v>
                </c:pt>
                <c:pt idx="461">
                  <c:v>30834</c:v>
                </c:pt>
                <c:pt idx="462">
                  <c:v>30864</c:v>
                </c:pt>
                <c:pt idx="463">
                  <c:v>30895</c:v>
                </c:pt>
                <c:pt idx="464">
                  <c:v>30926</c:v>
                </c:pt>
                <c:pt idx="465">
                  <c:v>30956</c:v>
                </c:pt>
                <c:pt idx="466">
                  <c:v>30987</c:v>
                </c:pt>
                <c:pt idx="467">
                  <c:v>31017</c:v>
                </c:pt>
                <c:pt idx="468">
                  <c:v>31048</c:v>
                </c:pt>
                <c:pt idx="469">
                  <c:v>31079</c:v>
                </c:pt>
                <c:pt idx="470">
                  <c:v>31107</c:v>
                </c:pt>
                <c:pt idx="471">
                  <c:v>31138</c:v>
                </c:pt>
                <c:pt idx="472">
                  <c:v>31168</c:v>
                </c:pt>
                <c:pt idx="473">
                  <c:v>31199</c:v>
                </c:pt>
                <c:pt idx="474">
                  <c:v>31229</c:v>
                </c:pt>
                <c:pt idx="475">
                  <c:v>31260</c:v>
                </c:pt>
                <c:pt idx="476">
                  <c:v>31291</c:v>
                </c:pt>
                <c:pt idx="477">
                  <c:v>31321</c:v>
                </c:pt>
                <c:pt idx="478">
                  <c:v>31352</c:v>
                </c:pt>
                <c:pt idx="479">
                  <c:v>31382</c:v>
                </c:pt>
                <c:pt idx="480">
                  <c:v>31413</c:v>
                </c:pt>
                <c:pt idx="481">
                  <c:v>31444</c:v>
                </c:pt>
                <c:pt idx="482">
                  <c:v>31472</c:v>
                </c:pt>
                <c:pt idx="483">
                  <c:v>31503</c:v>
                </c:pt>
                <c:pt idx="484">
                  <c:v>31533</c:v>
                </c:pt>
                <c:pt idx="485">
                  <c:v>31564</c:v>
                </c:pt>
                <c:pt idx="486">
                  <c:v>31594</c:v>
                </c:pt>
                <c:pt idx="487">
                  <c:v>31625</c:v>
                </c:pt>
                <c:pt idx="488">
                  <c:v>31656</c:v>
                </c:pt>
                <c:pt idx="489">
                  <c:v>31686</c:v>
                </c:pt>
                <c:pt idx="490">
                  <c:v>31717</c:v>
                </c:pt>
                <c:pt idx="491">
                  <c:v>31747</c:v>
                </c:pt>
                <c:pt idx="492">
                  <c:v>31778</c:v>
                </c:pt>
                <c:pt idx="493">
                  <c:v>31809</c:v>
                </c:pt>
                <c:pt idx="494">
                  <c:v>31837</c:v>
                </c:pt>
                <c:pt idx="495">
                  <c:v>31868</c:v>
                </c:pt>
                <c:pt idx="496">
                  <c:v>31898</c:v>
                </c:pt>
                <c:pt idx="497">
                  <c:v>31929</c:v>
                </c:pt>
                <c:pt idx="498">
                  <c:v>31959</c:v>
                </c:pt>
                <c:pt idx="499">
                  <c:v>31990</c:v>
                </c:pt>
                <c:pt idx="500">
                  <c:v>32021</c:v>
                </c:pt>
                <c:pt idx="501">
                  <c:v>32051</c:v>
                </c:pt>
                <c:pt idx="502">
                  <c:v>32082</c:v>
                </c:pt>
                <c:pt idx="503">
                  <c:v>32112</c:v>
                </c:pt>
                <c:pt idx="504">
                  <c:v>32143</c:v>
                </c:pt>
                <c:pt idx="505">
                  <c:v>32174</c:v>
                </c:pt>
                <c:pt idx="506">
                  <c:v>32203</c:v>
                </c:pt>
                <c:pt idx="507">
                  <c:v>32234</c:v>
                </c:pt>
                <c:pt idx="508">
                  <c:v>32264</c:v>
                </c:pt>
                <c:pt idx="509">
                  <c:v>32295</c:v>
                </c:pt>
                <c:pt idx="510">
                  <c:v>32325</c:v>
                </c:pt>
                <c:pt idx="511">
                  <c:v>32356</c:v>
                </c:pt>
                <c:pt idx="512">
                  <c:v>32387</c:v>
                </c:pt>
                <c:pt idx="513">
                  <c:v>32417</c:v>
                </c:pt>
                <c:pt idx="514">
                  <c:v>32448</c:v>
                </c:pt>
                <c:pt idx="515">
                  <c:v>32478</c:v>
                </c:pt>
                <c:pt idx="516">
                  <c:v>32509</c:v>
                </c:pt>
                <c:pt idx="517">
                  <c:v>32540</c:v>
                </c:pt>
                <c:pt idx="518">
                  <c:v>32568</c:v>
                </c:pt>
                <c:pt idx="519">
                  <c:v>32599</c:v>
                </c:pt>
                <c:pt idx="520">
                  <c:v>32629</c:v>
                </c:pt>
                <c:pt idx="521">
                  <c:v>32660</c:v>
                </c:pt>
                <c:pt idx="522">
                  <c:v>32690</c:v>
                </c:pt>
                <c:pt idx="523">
                  <c:v>32721</c:v>
                </c:pt>
                <c:pt idx="524">
                  <c:v>32752</c:v>
                </c:pt>
                <c:pt idx="525">
                  <c:v>32782</c:v>
                </c:pt>
                <c:pt idx="526">
                  <c:v>32813</c:v>
                </c:pt>
                <c:pt idx="527">
                  <c:v>32843</c:v>
                </c:pt>
                <c:pt idx="528">
                  <c:v>32874</c:v>
                </c:pt>
                <c:pt idx="529">
                  <c:v>32905</c:v>
                </c:pt>
                <c:pt idx="530">
                  <c:v>32933</c:v>
                </c:pt>
                <c:pt idx="531">
                  <c:v>32964</c:v>
                </c:pt>
                <c:pt idx="532">
                  <c:v>32994</c:v>
                </c:pt>
                <c:pt idx="533">
                  <c:v>33025</c:v>
                </c:pt>
                <c:pt idx="534">
                  <c:v>33055</c:v>
                </c:pt>
                <c:pt idx="535">
                  <c:v>33086</c:v>
                </c:pt>
                <c:pt idx="536">
                  <c:v>33117</c:v>
                </c:pt>
                <c:pt idx="537">
                  <c:v>33147</c:v>
                </c:pt>
                <c:pt idx="538">
                  <c:v>33178</c:v>
                </c:pt>
                <c:pt idx="539">
                  <c:v>33208</c:v>
                </c:pt>
                <c:pt idx="540">
                  <c:v>33239</c:v>
                </c:pt>
                <c:pt idx="541">
                  <c:v>33270</c:v>
                </c:pt>
                <c:pt idx="542">
                  <c:v>33298</c:v>
                </c:pt>
                <c:pt idx="543">
                  <c:v>33329</c:v>
                </c:pt>
                <c:pt idx="544">
                  <c:v>33359</c:v>
                </c:pt>
                <c:pt idx="545">
                  <c:v>33390</c:v>
                </c:pt>
                <c:pt idx="546">
                  <c:v>33420</c:v>
                </c:pt>
                <c:pt idx="547">
                  <c:v>33451</c:v>
                </c:pt>
                <c:pt idx="548">
                  <c:v>33482</c:v>
                </c:pt>
                <c:pt idx="549">
                  <c:v>33512</c:v>
                </c:pt>
                <c:pt idx="550">
                  <c:v>33543</c:v>
                </c:pt>
                <c:pt idx="551">
                  <c:v>33573</c:v>
                </c:pt>
                <c:pt idx="552">
                  <c:v>33604</c:v>
                </c:pt>
                <c:pt idx="553">
                  <c:v>33635</c:v>
                </c:pt>
                <c:pt idx="554">
                  <c:v>33664</c:v>
                </c:pt>
                <c:pt idx="555">
                  <c:v>33695</c:v>
                </c:pt>
                <c:pt idx="556">
                  <c:v>33725</c:v>
                </c:pt>
                <c:pt idx="557">
                  <c:v>33756</c:v>
                </c:pt>
                <c:pt idx="558">
                  <c:v>33786</c:v>
                </c:pt>
                <c:pt idx="559">
                  <c:v>33817</c:v>
                </c:pt>
                <c:pt idx="560">
                  <c:v>33848</c:v>
                </c:pt>
                <c:pt idx="561">
                  <c:v>33878</c:v>
                </c:pt>
                <c:pt idx="562">
                  <c:v>33909</c:v>
                </c:pt>
                <c:pt idx="563">
                  <c:v>33939</c:v>
                </c:pt>
                <c:pt idx="564">
                  <c:v>33970</c:v>
                </c:pt>
                <c:pt idx="565">
                  <c:v>34001</c:v>
                </c:pt>
                <c:pt idx="566">
                  <c:v>34029</c:v>
                </c:pt>
                <c:pt idx="567">
                  <c:v>34060</c:v>
                </c:pt>
                <c:pt idx="568">
                  <c:v>34090</c:v>
                </c:pt>
                <c:pt idx="569">
                  <c:v>34121</c:v>
                </c:pt>
                <c:pt idx="570">
                  <c:v>34151</c:v>
                </c:pt>
                <c:pt idx="571">
                  <c:v>34182</c:v>
                </c:pt>
                <c:pt idx="572">
                  <c:v>34213</c:v>
                </c:pt>
                <c:pt idx="573">
                  <c:v>34243</c:v>
                </c:pt>
                <c:pt idx="574">
                  <c:v>34274</c:v>
                </c:pt>
                <c:pt idx="575">
                  <c:v>34304</c:v>
                </c:pt>
                <c:pt idx="576">
                  <c:v>34335</c:v>
                </c:pt>
                <c:pt idx="577">
                  <c:v>34366</c:v>
                </c:pt>
                <c:pt idx="578">
                  <c:v>34394</c:v>
                </c:pt>
                <c:pt idx="579">
                  <c:v>34425</c:v>
                </c:pt>
                <c:pt idx="580">
                  <c:v>34455</c:v>
                </c:pt>
                <c:pt idx="581">
                  <c:v>34486</c:v>
                </c:pt>
                <c:pt idx="582">
                  <c:v>34516</c:v>
                </c:pt>
                <c:pt idx="583">
                  <c:v>34547</c:v>
                </c:pt>
                <c:pt idx="584">
                  <c:v>34578</c:v>
                </c:pt>
                <c:pt idx="585">
                  <c:v>34608</c:v>
                </c:pt>
                <c:pt idx="586">
                  <c:v>34639</c:v>
                </c:pt>
                <c:pt idx="587">
                  <c:v>34669</c:v>
                </c:pt>
                <c:pt idx="588">
                  <c:v>34700</c:v>
                </c:pt>
                <c:pt idx="589">
                  <c:v>34731</c:v>
                </c:pt>
                <c:pt idx="590">
                  <c:v>34759</c:v>
                </c:pt>
                <c:pt idx="591">
                  <c:v>34790</c:v>
                </c:pt>
                <c:pt idx="592">
                  <c:v>34820</c:v>
                </c:pt>
                <c:pt idx="593">
                  <c:v>34851</c:v>
                </c:pt>
                <c:pt idx="594">
                  <c:v>34881</c:v>
                </c:pt>
                <c:pt idx="595">
                  <c:v>34912</c:v>
                </c:pt>
                <c:pt idx="596">
                  <c:v>34943</c:v>
                </c:pt>
                <c:pt idx="597">
                  <c:v>34973</c:v>
                </c:pt>
                <c:pt idx="598">
                  <c:v>35004</c:v>
                </c:pt>
                <c:pt idx="599">
                  <c:v>35034</c:v>
                </c:pt>
                <c:pt idx="600">
                  <c:v>35065</c:v>
                </c:pt>
                <c:pt idx="601">
                  <c:v>35096</c:v>
                </c:pt>
                <c:pt idx="602">
                  <c:v>35125</c:v>
                </c:pt>
                <c:pt idx="603">
                  <c:v>35156</c:v>
                </c:pt>
                <c:pt idx="604">
                  <c:v>35186</c:v>
                </c:pt>
                <c:pt idx="605">
                  <c:v>35217</c:v>
                </c:pt>
                <c:pt idx="606">
                  <c:v>35247</c:v>
                </c:pt>
                <c:pt idx="607">
                  <c:v>35278</c:v>
                </c:pt>
                <c:pt idx="608">
                  <c:v>35309</c:v>
                </c:pt>
                <c:pt idx="609">
                  <c:v>35339</c:v>
                </c:pt>
                <c:pt idx="610">
                  <c:v>35370</c:v>
                </c:pt>
                <c:pt idx="611">
                  <c:v>35400</c:v>
                </c:pt>
                <c:pt idx="612">
                  <c:v>35431</c:v>
                </c:pt>
                <c:pt idx="613">
                  <c:v>35462</c:v>
                </c:pt>
                <c:pt idx="614">
                  <c:v>35490</c:v>
                </c:pt>
                <c:pt idx="615">
                  <c:v>35521</c:v>
                </c:pt>
                <c:pt idx="616">
                  <c:v>35551</c:v>
                </c:pt>
                <c:pt idx="617">
                  <c:v>35582</c:v>
                </c:pt>
                <c:pt idx="618">
                  <c:v>35612</c:v>
                </c:pt>
                <c:pt idx="619">
                  <c:v>35643</c:v>
                </c:pt>
                <c:pt idx="620">
                  <c:v>35674</c:v>
                </c:pt>
                <c:pt idx="621">
                  <c:v>35704</c:v>
                </c:pt>
                <c:pt idx="622">
                  <c:v>35735</c:v>
                </c:pt>
                <c:pt idx="623">
                  <c:v>35765</c:v>
                </c:pt>
                <c:pt idx="624">
                  <c:v>35796</c:v>
                </c:pt>
                <c:pt idx="625">
                  <c:v>35827</c:v>
                </c:pt>
                <c:pt idx="626">
                  <c:v>35855</c:v>
                </c:pt>
                <c:pt idx="627">
                  <c:v>35886</c:v>
                </c:pt>
                <c:pt idx="628">
                  <c:v>35916</c:v>
                </c:pt>
                <c:pt idx="629">
                  <c:v>35947</c:v>
                </c:pt>
                <c:pt idx="630">
                  <c:v>35977</c:v>
                </c:pt>
                <c:pt idx="631">
                  <c:v>36008</c:v>
                </c:pt>
                <c:pt idx="632">
                  <c:v>36039</c:v>
                </c:pt>
                <c:pt idx="633">
                  <c:v>36069</c:v>
                </c:pt>
                <c:pt idx="634">
                  <c:v>36100</c:v>
                </c:pt>
                <c:pt idx="635">
                  <c:v>36130</c:v>
                </c:pt>
                <c:pt idx="636">
                  <c:v>36161</c:v>
                </c:pt>
                <c:pt idx="637">
                  <c:v>36192</c:v>
                </c:pt>
                <c:pt idx="638">
                  <c:v>36220</c:v>
                </c:pt>
                <c:pt idx="639">
                  <c:v>36251</c:v>
                </c:pt>
                <c:pt idx="640">
                  <c:v>36281</c:v>
                </c:pt>
                <c:pt idx="641">
                  <c:v>36312</c:v>
                </c:pt>
                <c:pt idx="642">
                  <c:v>36342</c:v>
                </c:pt>
                <c:pt idx="643">
                  <c:v>36373</c:v>
                </c:pt>
                <c:pt idx="644">
                  <c:v>36404</c:v>
                </c:pt>
                <c:pt idx="645">
                  <c:v>36434</c:v>
                </c:pt>
                <c:pt idx="646">
                  <c:v>36465</c:v>
                </c:pt>
                <c:pt idx="647">
                  <c:v>36495</c:v>
                </c:pt>
                <c:pt idx="648">
                  <c:v>36526</c:v>
                </c:pt>
                <c:pt idx="649">
                  <c:v>36557</c:v>
                </c:pt>
                <c:pt idx="650">
                  <c:v>36586</c:v>
                </c:pt>
                <c:pt idx="651">
                  <c:v>36617</c:v>
                </c:pt>
                <c:pt idx="652">
                  <c:v>36647</c:v>
                </c:pt>
                <c:pt idx="653">
                  <c:v>36678</c:v>
                </c:pt>
                <c:pt idx="654">
                  <c:v>36708</c:v>
                </c:pt>
                <c:pt idx="655">
                  <c:v>36739</c:v>
                </c:pt>
                <c:pt idx="656">
                  <c:v>36770</c:v>
                </c:pt>
                <c:pt idx="657">
                  <c:v>36800</c:v>
                </c:pt>
                <c:pt idx="658">
                  <c:v>36831</c:v>
                </c:pt>
                <c:pt idx="659">
                  <c:v>36861</c:v>
                </c:pt>
                <c:pt idx="660">
                  <c:v>36892</c:v>
                </c:pt>
                <c:pt idx="661">
                  <c:v>36923</c:v>
                </c:pt>
                <c:pt idx="662">
                  <c:v>36951</c:v>
                </c:pt>
                <c:pt idx="663">
                  <c:v>36982</c:v>
                </c:pt>
                <c:pt idx="664">
                  <c:v>37012</c:v>
                </c:pt>
                <c:pt idx="665">
                  <c:v>37043</c:v>
                </c:pt>
                <c:pt idx="666">
                  <c:v>37073</c:v>
                </c:pt>
                <c:pt idx="667">
                  <c:v>37104</c:v>
                </c:pt>
                <c:pt idx="668">
                  <c:v>37135</c:v>
                </c:pt>
                <c:pt idx="669">
                  <c:v>37165</c:v>
                </c:pt>
                <c:pt idx="670">
                  <c:v>37196</c:v>
                </c:pt>
                <c:pt idx="671">
                  <c:v>37226</c:v>
                </c:pt>
                <c:pt idx="672">
                  <c:v>37257</c:v>
                </c:pt>
                <c:pt idx="673">
                  <c:v>37288</c:v>
                </c:pt>
                <c:pt idx="674">
                  <c:v>37316</c:v>
                </c:pt>
                <c:pt idx="675">
                  <c:v>37347</c:v>
                </c:pt>
                <c:pt idx="676">
                  <c:v>37377</c:v>
                </c:pt>
                <c:pt idx="677">
                  <c:v>37408</c:v>
                </c:pt>
                <c:pt idx="678">
                  <c:v>37438</c:v>
                </c:pt>
                <c:pt idx="679">
                  <c:v>37469</c:v>
                </c:pt>
                <c:pt idx="680">
                  <c:v>37500</c:v>
                </c:pt>
                <c:pt idx="681">
                  <c:v>37530</c:v>
                </c:pt>
                <c:pt idx="682">
                  <c:v>37561</c:v>
                </c:pt>
                <c:pt idx="683">
                  <c:v>37591</c:v>
                </c:pt>
                <c:pt idx="684">
                  <c:v>37622</c:v>
                </c:pt>
                <c:pt idx="685">
                  <c:v>37653</c:v>
                </c:pt>
                <c:pt idx="686">
                  <c:v>37681</c:v>
                </c:pt>
                <c:pt idx="687">
                  <c:v>37712</c:v>
                </c:pt>
                <c:pt idx="688">
                  <c:v>37742</c:v>
                </c:pt>
                <c:pt idx="689">
                  <c:v>37773</c:v>
                </c:pt>
                <c:pt idx="690">
                  <c:v>37803</c:v>
                </c:pt>
                <c:pt idx="691">
                  <c:v>37834</c:v>
                </c:pt>
                <c:pt idx="692">
                  <c:v>37865</c:v>
                </c:pt>
                <c:pt idx="693">
                  <c:v>37895</c:v>
                </c:pt>
                <c:pt idx="694">
                  <c:v>37926</c:v>
                </c:pt>
                <c:pt idx="695">
                  <c:v>37956</c:v>
                </c:pt>
                <c:pt idx="696">
                  <c:v>37987</c:v>
                </c:pt>
                <c:pt idx="697">
                  <c:v>38018</c:v>
                </c:pt>
                <c:pt idx="698">
                  <c:v>38047</c:v>
                </c:pt>
                <c:pt idx="699">
                  <c:v>38078</c:v>
                </c:pt>
                <c:pt idx="700">
                  <c:v>38108</c:v>
                </c:pt>
                <c:pt idx="701">
                  <c:v>38139</c:v>
                </c:pt>
                <c:pt idx="702">
                  <c:v>38169</c:v>
                </c:pt>
                <c:pt idx="703">
                  <c:v>38200</c:v>
                </c:pt>
                <c:pt idx="704">
                  <c:v>38231</c:v>
                </c:pt>
                <c:pt idx="705">
                  <c:v>38261</c:v>
                </c:pt>
                <c:pt idx="706">
                  <c:v>38292</c:v>
                </c:pt>
                <c:pt idx="707">
                  <c:v>38322</c:v>
                </c:pt>
                <c:pt idx="708">
                  <c:v>38353</c:v>
                </c:pt>
                <c:pt idx="709">
                  <c:v>38384</c:v>
                </c:pt>
                <c:pt idx="710">
                  <c:v>38412</c:v>
                </c:pt>
                <c:pt idx="711">
                  <c:v>38443</c:v>
                </c:pt>
                <c:pt idx="712">
                  <c:v>38473</c:v>
                </c:pt>
                <c:pt idx="713">
                  <c:v>38504</c:v>
                </c:pt>
                <c:pt idx="714">
                  <c:v>38534</c:v>
                </c:pt>
                <c:pt idx="715">
                  <c:v>38565</c:v>
                </c:pt>
                <c:pt idx="716">
                  <c:v>38596</c:v>
                </c:pt>
                <c:pt idx="717">
                  <c:v>38626</c:v>
                </c:pt>
                <c:pt idx="718">
                  <c:v>38657</c:v>
                </c:pt>
                <c:pt idx="719">
                  <c:v>38687</c:v>
                </c:pt>
                <c:pt idx="720">
                  <c:v>38718</c:v>
                </c:pt>
                <c:pt idx="721">
                  <c:v>38749</c:v>
                </c:pt>
                <c:pt idx="722">
                  <c:v>38777</c:v>
                </c:pt>
                <c:pt idx="723">
                  <c:v>38808</c:v>
                </c:pt>
                <c:pt idx="724">
                  <c:v>38838</c:v>
                </c:pt>
                <c:pt idx="725">
                  <c:v>38869</c:v>
                </c:pt>
                <c:pt idx="726">
                  <c:v>38899</c:v>
                </c:pt>
                <c:pt idx="727">
                  <c:v>38930</c:v>
                </c:pt>
                <c:pt idx="728">
                  <c:v>38961</c:v>
                </c:pt>
                <c:pt idx="729">
                  <c:v>38991</c:v>
                </c:pt>
                <c:pt idx="730">
                  <c:v>39022</c:v>
                </c:pt>
                <c:pt idx="731">
                  <c:v>39052</c:v>
                </c:pt>
                <c:pt idx="732">
                  <c:v>39083</c:v>
                </c:pt>
                <c:pt idx="733">
                  <c:v>39114</c:v>
                </c:pt>
                <c:pt idx="734">
                  <c:v>39142</c:v>
                </c:pt>
                <c:pt idx="735">
                  <c:v>39173</c:v>
                </c:pt>
                <c:pt idx="736">
                  <c:v>39203</c:v>
                </c:pt>
                <c:pt idx="737">
                  <c:v>39234</c:v>
                </c:pt>
                <c:pt idx="738">
                  <c:v>39264</c:v>
                </c:pt>
                <c:pt idx="739">
                  <c:v>39295</c:v>
                </c:pt>
                <c:pt idx="740">
                  <c:v>39326</c:v>
                </c:pt>
                <c:pt idx="741">
                  <c:v>39356</c:v>
                </c:pt>
                <c:pt idx="742">
                  <c:v>39387</c:v>
                </c:pt>
                <c:pt idx="743">
                  <c:v>39417</c:v>
                </c:pt>
                <c:pt idx="744">
                  <c:v>39448</c:v>
                </c:pt>
                <c:pt idx="745">
                  <c:v>39479</c:v>
                </c:pt>
                <c:pt idx="746">
                  <c:v>39508</c:v>
                </c:pt>
                <c:pt idx="747">
                  <c:v>39539</c:v>
                </c:pt>
                <c:pt idx="748">
                  <c:v>39569</c:v>
                </c:pt>
                <c:pt idx="749">
                  <c:v>39600</c:v>
                </c:pt>
                <c:pt idx="750">
                  <c:v>39630</c:v>
                </c:pt>
                <c:pt idx="751">
                  <c:v>39661</c:v>
                </c:pt>
                <c:pt idx="752">
                  <c:v>39692</c:v>
                </c:pt>
                <c:pt idx="753">
                  <c:v>39722</c:v>
                </c:pt>
                <c:pt idx="754">
                  <c:v>39753</c:v>
                </c:pt>
                <c:pt idx="755">
                  <c:v>39783</c:v>
                </c:pt>
                <c:pt idx="756">
                  <c:v>39814</c:v>
                </c:pt>
                <c:pt idx="757">
                  <c:v>39845</c:v>
                </c:pt>
                <c:pt idx="758">
                  <c:v>39873</c:v>
                </c:pt>
                <c:pt idx="759">
                  <c:v>39904</c:v>
                </c:pt>
                <c:pt idx="760">
                  <c:v>39934</c:v>
                </c:pt>
                <c:pt idx="761">
                  <c:v>39965</c:v>
                </c:pt>
                <c:pt idx="762">
                  <c:v>39995</c:v>
                </c:pt>
                <c:pt idx="763">
                  <c:v>40026</c:v>
                </c:pt>
                <c:pt idx="764">
                  <c:v>40057</c:v>
                </c:pt>
                <c:pt idx="765">
                  <c:v>40087</c:v>
                </c:pt>
                <c:pt idx="766">
                  <c:v>40118</c:v>
                </c:pt>
                <c:pt idx="767">
                  <c:v>40148</c:v>
                </c:pt>
                <c:pt idx="768">
                  <c:v>40179</c:v>
                </c:pt>
                <c:pt idx="769">
                  <c:v>40210</c:v>
                </c:pt>
                <c:pt idx="770">
                  <c:v>40238</c:v>
                </c:pt>
                <c:pt idx="771">
                  <c:v>40269</c:v>
                </c:pt>
                <c:pt idx="772">
                  <c:v>40299</c:v>
                </c:pt>
                <c:pt idx="773">
                  <c:v>40330</c:v>
                </c:pt>
                <c:pt idx="774">
                  <c:v>40360</c:v>
                </c:pt>
                <c:pt idx="775">
                  <c:v>40391</c:v>
                </c:pt>
                <c:pt idx="776">
                  <c:v>40422</c:v>
                </c:pt>
                <c:pt idx="777">
                  <c:v>40452</c:v>
                </c:pt>
                <c:pt idx="778">
                  <c:v>40483</c:v>
                </c:pt>
                <c:pt idx="779">
                  <c:v>40513</c:v>
                </c:pt>
                <c:pt idx="780">
                  <c:v>40544</c:v>
                </c:pt>
                <c:pt idx="781">
                  <c:v>40575</c:v>
                </c:pt>
                <c:pt idx="782">
                  <c:v>40603</c:v>
                </c:pt>
                <c:pt idx="783">
                  <c:v>40634</c:v>
                </c:pt>
                <c:pt idx="784">
                  <c:v>40664</c:v>
                </c:pt>
                <c:pt idx="785">
                  <c:v>40695</c:v>
                </c:pt>
                <c:pt idx="786">
                  <c:v>40725</c:v>
                </c:pt>
                <c:pt idx="787">
                  <c:v>40756</c:v>
                </c:pt>
                <c:pt idx="788">
                  <c:v>40787</c:v>
                </c:pt>
                <c:pt idx="789">
                  <c:v>40817</c:v>
                </c:pt>
                <c:pt idx="790">
                  <c:v>40848</c:v>
                </c:pt>
                <c:pt idx="791">
                  <c:v>40878</c:v>
                </c:pt>
                <c:pt idx="792">
                  <c:v>40909</c:v>
                </c:pt>
                <c:pt idx="793">
                  <c:v>40940</c:v>
                </c:pt>
                <c:pt idx="794">
                  <c:v>40969</c:v>
                </c:pt>
                <c:pt idx="795">
                  <c:v>41000</c:v>
                </c:pt>
                <c:pt idx="796">
                  <c:v>41030</c:v>
                </c:pt>
                <c:pt idx="797">
                  <c:v>41061</c:v>
                </c:pt>
                <c:pt idx="798">
                  <c:v>41091</c:v>
                </c:pt>
                <c:pt idx="799">
                  <c:v>41122</c:v>
                </c:pt>
                <c:pt idx="800">
                  <c:v>41153</c:v>
                </c:pt>
                <c:pt idx="801">
                  <c:v>41183</c:v>
                </c:pt>
                <c:pt idx="802">
                  <c:v>41214</c:v>
                </c:pt>
                <c:pt idx="803">
                  <c:v>41244</c:v>
                </c:pt>
                <c:pt idx="804">
                  <c:v>41275</c:v>
                </c:pt>
                <c:pt idx="805">
                  <c:v>41306</c:v>
                </c:pt>
                <c:pt idx="806">
                  <c:v>41334</c:v>
                </c:pt>
                <c:pt idx="807">
                  <c:v>41365</c:v>
                </c:pt>
                <c:pt idx="808">
                  <c:v>41395</c:v>
                </c:pt>
                <c:pt idx="809">
                  <c:v>41426</c:v>
                </c:pt>
                <c:pt idx="810">
                  <c:v>41456</c:v>
                </c:pt>
                <c:pt idx="811">
                  <c:v>41487</c:v>
                </c:pt>
                <c:pt idx="812">
                  <c:v>41518</c:v>
                </c:pt>
                <c:pt idx="813">
                  <c:v>41548</c:v>
                </c:pt>
                <c:pt idx="814">
                  <c:v>41579</c:v>
                </c:pt>
                <c:pt idx="815">
                  <c:v>41609</c:v>
                </c:pt>
                <c:pt idx="816">
                  <c:v>41640</c:v>
                </c:pt>
                <c:pt idx="817">
                  <c:v>41671</c:v>
                </c:pt>
                <c:pt idx="818">
                  <c:v>41699</c:v>
                </c:pt>
                <c:pt idx="819">
                  <c:v>41730</c:v>
                </c:pt>
                <c:pt idx="820">
                  <c:v>41760</c:v>
                </c:pt>
                <c:pt idx="821">
                  <c:v>41791</c:v>
                </c:pt>
                <c:pt idx="822">
                  <c:v>41821</c:v>
                </c:pt>
                <c:pt idx="823">
                  <c:v>41852</c:v>
                </c:pt>
                <c:pt idx="824">
                  <c:v>41883</c:v>
                </c:pt>
                <c:pt idx="825">
                  <c:v>41913</c:v>
                </c:pt>
                <c:pt idx="826">
                  <c:v>41944</c:v>
                </c:pt>
                <c:pt idx="827">
                  <c:v>41974</c:v>
                </c:pt>
                <c:pt idx="828">
                  <c:v>42005</c:v>
                </c:pt>
                <c:pt idx="829">
                  <c:v>42036</c:v>
                </c:pt>
                <c:pt idx="830">
                  <c:v>42064</c:v>
                </c:pt>
                <c:pt idx="831">
                  <c:v>42095</c:v>
                </c:pt>
                <c:pt idx="832">
                  <c:v>42125</c:v>
                </c:pt>
                <c:pt idx="833">
                  <c:v>42156</c:v>
                </c:pt>
                <c:pt idx="834">
                  <c:v>42186</c:v>
                </c:pt>
                <c:pt idx="835">
                  <c:v>42217</c:v>
                </c:pt>
                <c:pt idx="836">
                  <c:v>42248</c:v>
                </c:pt>
                <c:pt idx="837">
                  <c:v>42278</c:v>
                </c:pt>
                <c:pt idx="838">
                  <c:v>42309</c:v>
                </c:pt>
                <c:pt idx="839">
                  <c:v>42339</c:v>
                </c:pt>
                <c:pt idx="840">
                  <c:v>42370</c:v>
                </c:pt>
                <c:pt idx="841">
                  <c:v>42401</c:v>
                </c:pt>
                <c:pt idx="842">
                  <c:v>42430</c:v>
                </c:pt>
                <c:pt idx="843">
                  <c:v>42461</c:v>
                </c:pt>
                <c:pt idx="844">
                  <c:v>42491</c:v>
                </c:pt>
                <c:pt idx="845">
                  <c:v>42522</c:v>
                </c:pt>
                <c:pt idx="846">
                  <c:v>42552</c:v>
                </c:pt>
                <c:pt idx="847">
                  <c:v>42583</c:v>
                </c:pt>
                <c:pt idx="848">
                  <c:v>42614</c:v>
                </c:pt>
                <c:pt idx="849">
                  <c:v>42644</c:v>
                </c:pt>
                <c:pt idx="850">
                  <c:v>42675</c:v>
                </c:pt>
                <c:pt idx="851">
                  <c:v>42705</c:v>
                </c:pt>
                <c:pt idx="852">
                  <c:v>42736</c:v>
                </c:pt>
                <c:pt idx="853">
                  <c:v>42767</c:v>
                </c:pt>
                <c:pt idx="854">
                  <c:v>42795</c:v>
                </c:pt>
                <c:pt idx="855">
                  <c:v>42826</c:v>
                </c:pt>
                <c:pt idx="856">
                  <c:v>42856</c:v>
                </c:pt>
                <c:pt idx="857">
                  <c:v>42887</c:v>
                </c:pt>
                <c:pt idx="858">
                  <c:v>42917</c:v>
                </c:pt>
                <c:pt idx="859">
                  <c:v>42948</c:v>
                </c:pt>
                <c:pt idx="860">
                  <c:v>42979</c:v>
                </c:pt>
                <c:pt idx="861">
                  <c:v>43009</c:v>
                </c:pt>
                <c:pt idx="862">
                  <c:v>43040</c:v>
                </c:pt>
                <c:pt idx="863">
                  <c:v>43070</c:v>
                </c:pt>
                <c:pt idx="864">
                  <c:v>43101</c:v>
                </c:pt>
                <c:pt idx="865">
                  <c:v>43132</c:v>
                </c:pt>
                <c:pt idx="866">
                  <c:v>43160</c:v>
                </c:pt>
                <c:pt idx="867">
                  <c:v>43191</c:v>
                </c:pt>
                <c:pt idx="868">
                  <c:v>43221</c:v>
                </c:pt>
                <c:pt idx="869">
                  <c:v>43252</c:v>
                </c:pt>
                <c:pt idx="870">
                  <c:v>43282</c:v>
                </c:pt>
                <c:pt idx="871">
                  <c:v>43313</c:v>
                </c:pt>
                <c:pt idx="872">
                  <c:v>43344</c:v>
                </c:pt>
                <c:pt idx="873">
                  <c:v>43374</c:v>
                </c:pt>
                <c:pt idx="874">
                  <c:v>43405</c:v>
                </c:pt>
                <c:pt idx="875">
                  <c:v>43435</c:v>
                </c:pt>
                <c:pt idx="876">
                  <c:v>43466</c:v>
                </c:pt>
                <c:pt idx="877">
                  <c:v>43497</c:v>
                </c:pt>
                <c:pt idx="878">
                  <c:v>43525</c:v>
                </c:pt>
                <c:pt idx="879">
                  <c:v>43556</c:v>
                </c:pt>
                <c:pt idx="880">
                  <c:v>43586</c:v>
                </c:pt>
                <c:pt idx="881">
                  <c:v>43617</c:v>
                </c:pt>
                <c:pt idx="882">
                  <c:v>43647</c:v>
                </c:pt>
                <c:pt idx="883">
                  <c:v>43678</c:v>
                </c:pt>
                <c:pt idx="884">
                  <c:v>43709</c:v>
                </c:pt>
                <c:pt idx="885">
                  <c:v>43739</c:v>
                </c:pt>
                <c:pt idx="886">
                  <c:v>43770</c:v>
                </c:pt>
                <c:pt idx="887">
                  <c:v>43800</c:v>
                </c:pt>
                <c:pt idx="888">
                  <c:v>43831</c:v>
                </c:pt>
                <c:pt idx="889">
                  <c:v>43862</c:v>
                </c:pt>
                <c:pt idx="890">
                  <c:v>43891</c:v>
                </c:pt>
                <c:pt idx="891">
                  <c:v>43922</c:v>
                </c:pt>
                <c:pt idx="892">
                  <c:v>43952</c:v>
                </c:pt>
                <c:pt idx="893">
                  <c:v>43983</c:v>
                </c:pt>
                <c:pt idx="894">
                  <c:v>44013</c:v>
                </c:pt>
                <c:pt idx="895">
                  <c:v>44044</c:v>
                </c:pt>
                <c:pt idx="896">
                  <c:v>44075</c:v>
                </c:pt>
                <c:pt idx="897">
                  <c:v>44105</c:v>
                </c:pt>
                <c:pt idx="898">
                  <c:v>44136</c:v>
                </c:pt>
                <c:pt idx="899">
                  <c:v>44166</c:v>
                </c:pt>
                <c:pt idx="900">
                  <c:v>44197</c:v>
                </c:pt>
                <c:pt idx="901">
                  <c:v>44228</c:v>
                </c:pt>
                <c:pt idx="902">
                  <c:v>44256</c:v>
                </c:pt>
                <c:pt idx="903">
                  <c:v>44287</c:v>
                </c:pt>
                <c:pt idx="904">
                  <c:v>44317</c:v>
                </c:pt>
                <c:pt idx="905">
                  <c:v>44348</c:v>
                </c:pt>
                <c:pt idx="906">
                  <c:v>44378</c:v>
                </c:pt>
                <c:pt idx="907">
                  <c:v>44409</c:v>
                </c:pt>
                <c:pt idx="908">
                  <c:v>44440</c:v>
                </c:pt>
                <c:pt idx="909">
                  <c:v>44470</c:v>
                </c:pt>
                <c:pt idx="910">
                  <c:v>44501</c:v>
                </c:pt>
                <c:pt idx="911">
                  <c:v>44531</c:v>
                </c:pt>
                <c:pt idx="912">
                  <c:v>44562</c:v>
                </c:pt>
                <c:pt idx="913">
                  <c:v>44593</c:v>
                </c:pt>
                <c:pt idx="914">
                  <c:v>44621</c:v>
                </c:pt>
                <c:pt idx="915">
                  <c:v>44652</c:v>
                </c:pt>
                <c:pt idx="916">
                  <c:v>44682</c:v>
                </c:pt>
                <c:pt idx="917">
                  <c:v>44713</c:v>
                </c:pt>
                <c:pt idx="918">
                  <c:v>44743</c:v>
                </c:pt>
                <c:pt idx="919">
                  <c:v>44774</c:v>
                </c:pt>
                <c:pt idx="920">
                  <c:v>44805</c:v>
                </c:pt>
                <c:pt idx="921">
                  <c:v>44835</c:v>
                </c:pt>
                <c:pt idx="922">
                  <c:v>44866</c:v>
                </c:pt>
                <c:pt idx="923">
                  <c:v>44896</c:v>
                </c:pt>
                <c:pt idx="924">
                  <c:v>44927</c:v>
                </c:pt>
                <c:pt idx="925">
                  <c:v>44958</c:v>
                </c:pt>
                <c:pt idx="926">
                  <c:v>44986</c:v>
                </c:pt>
                <c:pt idx="927">
                  <c:v>45017</c:v>
                </c:pt>
                <c:pt idx="928">
                  <c:v>45047</c:v>
                </c:pt>
                <c:pt idx="929">
                  <c:v>45078</c:v>
                </c:pt>
                <c:pt idx="930">
                  <c:v>45108</c:v>
                </c:pt>
                <c:pt idx="931">
                  <c:v>45139</c:v>
                </c:pt>
                <c:pt idx="932">
                  <c:v>45170</c:v>
                </c:pt>
                <c:pt idx="933">
                  <c:v>45200</c:v>
                </c:pt>
                <c:pt idx="934">
                  <c:v>45231</c:v>
                </c:pt>
                <c:pt idx="935">
                  <c:v>45261</c:v>
                </c:pt>
                <c:pt idx="936">
                  <c:v>45292</c:v>
                </c:pt>
                <c:pt idx="937">
                  <c:v>45323</c:v>
                </c:pt>
                <c:pt idx="938">
                  <c:v>45352</c:v>
                </c:pt>
                <c:pt idx="939">
                  <c:v>45383</c:v>
                </c:pt>
                <c:pt idx="940">
                  <c:v>45413</c:v>
                </c:pt>
                <c:pt idx="941">
                  <c:v>45444</c:v>
                </c:pt>
                <c:pt idx="942">
                  <c:v>45474</c:v>
                </c:pt>
                <c:pt idx="943">
                  <c:v>45505</c:v>
                </c:pt>
                <c:pt idx="944">
                  <c:v>45536</c:v>
                </c:pt>
                <c:pt idx="945">
                  <c:v>45566</c:v>
                </c:pt>
                <c:pt idx="946">
                  <c:v>45597</c:v>
                </c:pt>
                <c:pt idx="947">
                  <c:v>45627</c:v>
                </c:pt>
                <c:pt idx="948">
                  <c:v>45658</c:v>
                </c:pt>
                <c:pt idx="949">
                  <c:v>45689</c:v>
                </c:pt>
                <c:pt idx="950">
                  <c:v>45717</c:v>
                </c:pt>
                <c:pt idx="951">
                  <c:v>45748</c:v>
                </c:pt>
                <c:pt idx="952">
                  <c:v>45778</c:v>
                </c:pt>
                <c:pt idx="953">
                  <c:v>45809</c:v>
                </c:pt>
                <c:pt idx="954">
                  <c:v>45839</c:v>
                </c:pt>
                <c:pt idx="955">
                  <c:v>45870</c:v>
                </c:pt>
                <c:pt idx="956">
                  <c:v>45901</c:v>
                </c:pt>
                <c:pt idx="957">
                  <c:v>45931</c:v>
                </c:pt>
                <c:pt idx="958">
                  <c:v>45962</c:v>
                </c:pt>
                <c:pt idx="959">
                  <c:v>45992</c:v>
                </c:pt>
                <c:pt idx="960">
                  <c:v>46023</c:v>
                </c:pt>
                <c:pt idx="961">
                  <c:v>46054</c:v>
                </c:pt>
                <c:pt idx="962">
                  <c:v>46082</c:v>
                </c:pt>
                <c:pt idx="963">
                  <c:v>46113</c:v>
                </c:pt>
                <c:pt idx="964">
                  <c:v>46143</c:v>
                </c:pt>
                <c:pt idx="965">
                  <c:v>46174</c:v>
                </c:pt>
                <c:pt idx="966">
                  <c:v>46204</c:v>
                </c:pt>
                <c:pt idx="967">
                  <c:v>46235</c:v>
                </c:pt>
                <c:pt idx="968">
                  <c:v>46266</c:v>
                </c:pt>
                <c:pt idx="969">
                  <c:v>46296</c:v>
                </c:pt>
                <c:pt idx="970">
                  <c:v>46327</c:v>
                </c:pt>
                <c:pt idx="971">
                  <c:v>46357</c:v>
                </c:pt>
                <c:pt idx="972">
                  <c:v>46388</c:v>
                </c:pt>
                <c:pt idx="973">
                  <c:v>46419</c:v>
                </c:pt>
                <c:pt idx="974">
                  <c:v>46447</c:v>
                </c:pt>
                <c:pt idx="975">
                  <c:v>46478</c:v>
                </c:pt>
                <c:pt idx="976">
                  <c:v>46508</c:v>
                </c:pt>
                <c:pt idx="977">
                  <c:v>46539</c:v>
                </c:pt>
                <c:pt idx="978">
                  <c:v>46569</c:v>
                </c:pt>
                <c:pt idx="979">
                  <c:v>46600</c:v>
                </c:pt>
                <c:pt idx="980">
                  <c:v>46631</c:v>
                </c:pt>
                <c:pt idx="981">
                  <c:v>46661</c:v>
                </c:pt>
                <c:pt idx="982">
                  <c:v>46692</c:v>
                </c:pt>
                <c:pt idx="983">
                  <c:v>46722</c:v>
                </c:pt>
                <c:pt idx="984">
                  <c:v>46753</c:v>
                </c:pt>
                <c:pt idx="985">
                  <c:v>46784</c:v>
                </c:pt>
                <c:pt idx="986">
                  <c:v>46813</c:v>
                </c:pt>
                <c:pt idx="987">
                  <c:v>46844</c:v>
                </c:pt>
                <c:pt idx="988">
                  <c:v>46874</c:v>
                </c:pt>
                <c:pt idx="989">
                  <c:v>46905</c:v>
                </c:pt>
                <c:pt idx="990">
                  <c:v>46935</c:v>
                </c:pt>
                <c:pt idx="991">
                  <c:v>46966</c:v>
                </c:pt>
                <c:pt idx="992">
                  <c:v>46997</c:v>
                </c:pt>
                <c:pt idx="993">
                  <c:v>47027</c:v>
                </c:pt>
                <c:pt idx="994">
                  <c:v>47058</c:v>
                </c:pt>
                <c:pt idx="995">
                  <c:v>47088</c:v>
                </c:pt>
                <c:pt idx="996">
                  <c:v>47119</c:v>
                </c:pt>
                <c:pt idx="997">
                  <c:v>47150</c:v>
                </c:pt>
                <c:pt idx="998">
                  <c:v>47178</c:v>
                </c:pt>
                <c:pt idx="999">
                  <c:v>47209</c:v>
                </c:pt>
                <c:pt idx="1000">
                  <c:v>47239</c:v>
                </c:pt>
                <c:pt idx="1001">
                  <c:v>47270</c:v>
                </c:pt>
                <c:pt idx="1002">
                  <c:v>47300</c:v>
                </c:pt>
                <c:pt idx="1003">
                  <c:v>47331</c:v>
                </c:pt>
                <c:pt idx="1004">
                  <c:v>47362</c:v>
                </c:pt>
                <c:pt idx="1005">
                  <c:v>47392</c:v>
                </c:pt>
                <c:pt idx="1006">
                  <c:v>47423</c:v>
                </c:pt>
                <c:pt idx="1007">
                  <c:v>47453</c:v>
                </c:pt>
                <c:pt idx="1008">
                  <c:v>47484</c:v>
                </c:pt>
                <c:pt idx="1009">
                  <c:v>47515</c:v>
                </c:pt>
                <c:pt idx="1010">
                  <c:v>47543</c:v>
                </c:pt>
                <c:pt idx="1011">
                  <c:v>47574</c:v>
                </c:pt>
                <c:pt idx="1012">
                  <c:v>47604</c:v>
                </c:pt>
                <c:pt idx="1013">
                  <c:v>47635</c:v>
                </c:pt>
                <c:pt idx="1014">
                  <c:v>47665</c:v>
                </c:pt>
                <c:pt idx="1015">
                  <c:v>47696</c:v>
                </c:pt>
                <c:pt idx="1016">
                  <c:v>47727</c:v>
                </c:pt>
                <c:pt idx="1017">
                  <c:v>47757</c:v>
                </c:pt>
                <c:pt idx="1018">
                  <c:v>47788</c:v>
                </c:pt>
                <c:pt idx="1019">
                  <c:v>47818</c:v>
                </c:pt>
                <c:pt idx="1020">
                  <c:v>47849</c:v>
                </c:pt>
                <c:pt idx="1021">
                  <c:v>47880</c:v>
                </c:pt>
                <c:pt idx="1022">
                  <c:v>47908</c:v>
                </c:pt>
                <c:pt idx="1023">
                  <c:v>47939</c:v>
                </c:pt>
                <c:pt idx="1024">
                  <c:v>47969</c:v>
                </c:pt>
                <c:pt idx="1025">
                  <c:v>48000</c:v>
                </c:pt>
                <c:pt idx="1026">
                  <c:v>48030</c:v>
                </c:pt>
                <c:pt idx="1027">
                  <c:v>48061</c:v>
                </c:pt>
                <c:pt idx="1028">
                  <c:v>48092</c:v>
                </c:pt>
                <c:pt idx="1029">
                  <c:v>48122</c:v>
                </c:pt>
                <c:pt idx="1030">
                  <c:v>48153</c:v>
                </c:pt>
                <c:pt idx="1031">
                  <c:v>48183</c:v>
                </c:pt>
                <c:pt idx="1032">
                  <c:v>48214</c:v>
                </c:pt>
                <c:pt idx="1033">
                  <c:v>48245</c:v>
                </c:pt>
                <c:pt idx="1034">
                  <c:v>48274</c:v>
                </c:pt>
                <c:pt idx="1035">
                  <c:v>48305</c:v>
                </c:pt>
                <c:pt idx="1036">
                  <c:v>48335</c:v>
                </c:pt>
                <c:pt idx="1037">
                  <c:v>48366</c:v>
                </c:pt>
                <c:pt idx="1038">
                  <c:v>48396</c:v>
                </c:pt>
                <c:pt idx="1039">
                  <c:v>48427</c:v>
                </c:pt>
                <c:pt idx="1040">
                  <c:v>48458</c:v>
                </c:pt>
                <c:pt idx="1041">
                  <c:v>48488</c:v>
                </c:pt>
                <c:pt idx="1042">
                  <c:v>48519</c:v>
                </c:pt>
                <c:pt idx="1043">
                  <c:v>48549</c:v>
                </c:pt>
                <c:pt idx="1044">
                  <c:v>48580</c:v>
                </c:pt>
                <c:pt idx="1045">
                  <c:v>48611</c:v>
                </c:pt>
                <c:pt idx="1046">
                  <c:v>48639</c:v>
                </c:pt>
                <c:pt idx="1047">
                  <c:v>48670</c:v>
                </c:pt>
                <c:pt idx="1048">
                  <c:v>48700</c:v>
                </c:pt>
                <c:pt idx="1049">
                  <c:v>48731</c:v>
                </c:pt>
                <c:pt idx="1050">
                  <c:v>48761</c:v>
                </c:pt>
                <c:pt idx="1051">
                  <c:v>48792</c:v>
                </c:pt>
                <c:pt idx="1052">
                  <c:v>48823</c:v>
                </c:pt>
                <c:pt idx="1053">
                  <c:v>48853</c:v>
                </c:pt>
                <c:pt idx="1054">
                  <c:v>48884</c:v>
                </c:pt>
                <c:pt idx="1055">
                  <c:v>48914</c:v>
                </c:pt>
                <c:pt idx="1056">
                  <c:v>48945</c:v>
                </c:pt>
                <c:pt idx="1057">
                  <c:v>48976</c:v>
                </c:pt>
                <c:pt idx="1058">
                  <c:v>49004</c:v>
                </c:pt>
                <c:pt idx="1059">
                  <c:v>49035</c:v>
                </c:pt>
                <c:pt idx="1060">
                  <c:v>49065</c:v>
                </c:pt>
                <c:pt idx="1061">
                  <c:v>49096</c:v>
                </c:pt>
                <c:pt idx="1062">
                  <c:v>49126</c:v>
                </c:pt>
                <c:pt idx="1063">
                  <c:v>49157</c:v>
                </c:pt>
                <c:pt idx="1064">
                  <c:v>49188</c:v>
                </c:pt>
                <c:pt idx="1065">
                  <c:v>49218</c:v>
                </c:pt>
                <c:pt idx="1066">
                  <c:v>49249</c:v>
                </c:pt>
                <c:pt idx="1067">
                  <c:v>49279</c:v>
                </c:pt>
                <c:pt idx="1068">
                  <c:v>49310</c:v>
                </c:pt>
                <c:pt idx="1069">
                  <c:v>49341</c:v>
                </c:pt>
                <c:pt idx="1070">
                  <c:v>49369</c:v>
                </c:pt>
                <c:pt idx="1071">
                  <c:v>49400</c:v>
                </c:pt>
                <c:pt idx="1072">
                  <c:v>49430</c:v>
                </c:pt>
                <c:pt idx="1073">
                  <c:v>49461</c:v>
                </c:pt>
                <c:pt idx="1074">
                  <c:v>49491</c:v>
                </c:pt>
                <c:pt idx="1075">
                  <c:v>49522</c:v>
                </c:pt>
                <c:pt idx="1076">
                  <c:v>49553</c:v>
                </c:pt>
                <c:pt idx="1077">
                  <c:v>49583</c:v>
                </c:pt>
                <c:pt idx="1078">
                  <c:v>49614</c:v>
                </c:pt>
                <c:pt idx="1079">
                  <c:v>49644</c:v>
                </c:pt>
                <c:pt idx="1080">
                  <c:v>49675</c:v>
                </c:pt>
                <c:pt idx="1081">
                  <c:v>49706</c:v>
                </c:pt>
                <c:pt idx="1082">
                  <c:v>49735</c:v>
                </c:pt>
                <c:pt idx="1083">
                  <c:v>49766</c:v>
                </c:pt>
                <c:pt idx="1084">
                  <c:v>49796</c:v>
                </c:pt>
                <c:pt idx="1085">
                  <c:v>49827</c:v>
                </c:pt>
                <c:pt idx="1086">
                  <c:v>49857</c:v>
                </c:pt>
                <c:pt idx="1087">
                  <c:v>49888</c:v>
                </c:pt>
                <c:pt idx="1088">
                  <c:v>49919</c:v>
                </c:pt>
                <c:pt idx="1089">
                  <c:v>49949</c:v>
                </c:pt>
                <c:pt idx="1090">
                  <c:v>49980</c:v>
                </c:pt>
                <c:pt idx="1091">
                  <c:v>50010</c:v>
                </c:pt>
                <c:pt idx="1092">
                  <c:v>50041</c:v>
                </c:pt>
                <c:pt idx="1093">
                  <c:v>50072</c:v>
                </c:pt>
                <c:pt idx="1094">
                  <c:v>50100</c:v>
                </c:pt>
                <c:pt idx="1095">
                  <c:v>50131</c:v>
                </c:pt>
                <c:pt idx="1096">
                  <c:v>50161</c:v>
                </c:pt>
                <c:pt idx="1097">
                  <c:v>50192</c:v>
                </c:pt>
                <c:pt idx="1098">
                  <c:v>50222</c:v>
                </c:pt>
                <c:pt idx="1099">
                  <c:v>50253</c:v>
                </c:pt>
                <c:pt idx="1100">
                  <c:v>50284</c:v>
                </c:pt>
                <c:pt idx="1101">
                  <c:v>50314</c:v>
                </c:pt>
                <c:pt idx="1102">
                  <c:v>50345</c:v>
                </c:pt>
                <c:pt idx="1103">
                  <c:v>50375</c:v>
                </c:pt>
                <c:pt idx="1104">
                  <c:v>50406</c:v>
                </c:pt>
                <c:pt idx="1105">
                  <c:v>50437</c:v>
                </c:pt>
                <c:pt idx="1106">
                  <c:v>50465</c:v>
                </c:pt>
                <c:pt idx="1107">
                  <c:v>50496</c:v>
                </c:pt>
                <c:pt idx="1108">
                  <c:v>50526</c:v>
                </c:pt>
                <c:pt idx="1109">
                  <c:v>50557</c:v>
                </c:pt>
                <c:pt idx="1110">
                  <c:v>50587</c:v>
                </c:pt>
                <c:pt idx="1111">
                  <c:v>50618</c:v>
                </c:pt>
                <c:pt idx="1112">
                  <c:v>50649</c:v>
                </c:pt>
                <c:pt idx="1113">
                  <c:v>50679</c:v>
                </c:pt>
                <c:pt idx="1114">
                  <c:v>50710</c:v>
                </c:pt>
                <c:pt idx="1115">
                  <c:v>50740</c:v>
                </c:pt>
                <c:pt idx="1116">
                  <c:v>50771</c:v>
                </c:pt>
                <c:pt idx="1117">
                  <c:v>50802</c:v>
                </c:pt>
                <c:pt idx="1118">
                  <c:v>50830</c:v>
                </c:pt>
                <c:pt idx="1119">
                  <c:v>50861</c:v>
                </c:pt>
                <c:pt idx="1120">
                  <c:v>50891</c:v>
                </c:pt>
                <c:pt idx="1121">
                  <c:v>50922</c:v>
                </c:pt>
                <c:pt idx="1122">
                  <c:v>50952</c:v>
                </c:pt>
                <c:pt idx="1123">
                  <c:v>50983</c:v>
                </c:pt>
                <c:pt idx="1124">
                  <c:v>51014</c:v>
                </c:pt>
                <c:pt idx="1125">
                  <c:v>51044</c:v>
                </c:pt>
                <c:pt idx="1126">
                  <c:v>51075</c:v>
                </c:pt>
                <c:pt idx="1127">
                  <c:v>51105</c:v>
                </c:pt>
                <c:pt idx="1128">
                  <c:v>51136</c:v>
                </c:pt>
                <c:pt idx="1129">
                  <c:v>51167</c:v>
                </c:pt>
                <c:pt idx="1130">
                  <c:v>51196</c:v>
                </c:pt>
                <c:pt idx="1131">
                  <c:v>51227</c:v>
                </c:pt>
                <c:pt idx="1132">
                  <c:v>51257</c:v>
                </c:pt>
                <c:pt idx="1133">
                  <c:v>51288</c:v>
                </c:pt>
                <c:pt idx="1134">
                  <c:v>51318</c:v>
                </c:pt>
                <c:pt idx="1135">
                  <c:v>51349</c:v>
                </c:pt>
                <c:pt idx="1136">
                  <c:v>51380</c:v>
                </c:pt>
                <c:pt idx="1137">
                  <c:v>51410</c:v>
                </c:pt>
                <c:pt idx="1138">
                  <c:v>51441</c:v>
                </c:pt>
                <c:pt idx="1139">
                  <c:v>51471</c:v>
                </c:pt>
                <c:pt idx="1140">
                  <c:v>51502</c:v>
                </c:pt>
                <c:pt idx="1141">
                  <c:v>51533</c:v>
                </c:pt>
                <c:pt idx="1142">
                  <c:v>51561</c:v>
                </c:pt>
                <c:pt idx="1143">
                  <c:v>51592</c:v>
                </c:pt>
                <c:pt idx="1144">
                  <c:v>51622</c:v>
                </c:pt>
                <c:pt idx="1145">
                  <c:v>51653</c:v>
                </c:pt>
                <c:pt idx="1146">
                  <c:v>51683</c:v>
                </c:pt>
                <c:pt idx="1147">
                  <c:v>51714</c:v>
                </c:pt>
                <c:pt idx="1148">
                  <c:v>51745</c:v>
                </c:pt>
                <c:pt idx="1149">
                  <c:v>51775</c:v>
                </c:pt>
                <c:pt idx="1150">
                  <c:v>51806</c:v>
                </c:pt>
                <c:pt idx="1151">
                  <c:v>51836</c:v>
                </c:pt>
                <c:pt idx="1152">
                  <c:v>51867</c:v>
                </c:pt>
                <c:pt idx="1153">
                  <c:v>51898</c:v>
                </c:pt>
                <c:pt idx="1154">
                  <c:v>51926</c:v>
                </c:pt>
                <c:pt idx="1155">
                  <c:v>51957</c:v>
                </c:pt>
                <c:pt idx="1156">
                  <c:v>51987</c:v>
                </c:pt>
                <c:pt idx="1157">
                  <c:v>52018</c:v>
                </c:pt>
                <c:pt idx="1158">
                  <c:v>52048</c:v>
                </c:pt>
                <c:pt idx="1159">
                  <c:v>52079</c:v>
                </c:pt>
                <c:pt idx="1160">
                  <c:v>52110</c:v>
                </c:pt>
                <c:pt idx="1161">
                  <c:v>52140</c:v>
                </c:pt>
                <c:pt idx="1162">
                  <c:v>52171</c:v>
                </c:pt>
                <c:pt idx="1163">
                  <c:v>52201</c:v>
                </c:pt>
                <c:pt idx="1164">
                  <c:v>52232</c:v>
                </c:pt>
                <c:pt idx="1165">
                  <c:v>52263</c:v>
                </c:pt>
                <c:pt idx="1166">
                  <c:v>52291</c:v>
                </c:pt>
                <c:pt idx="1167">
                  <c:v>52322</c:v>
                </c:pt>
                <c:pt idx="1168">
                  <c:v>52352</c:v>
                </c:pt>
                <c:pt idx="1169">
                  <c:v>52383</c:v>
                </c:pt>
                <c:pt idx="1170">
                  <c:v>52413</c:v>
                </c:pt>
                <c:pt idx="1171">
                  <c:v>52444</c:v>
                </c:pt>
                <c:pt idx="1172">
                  <c:v>52475</c:v>
                </c:pt>
                <c:pt idx="1173">
                  <c:v>52505</c:v>
                </c:pt>
                <c:pt idx="1174">
                  <c:v>52536</c:v>
                </c:pt>
                <c:pt idx="1175">
                  <c:v>52566</c:v>
                </c:pt>
                <c:pt idx="1176">
                  <c:v>52597</c:v>
                </c:pt>
                <c:pt idx="1177">
                  <c:v>52628</c:v>
                </c:pt>
                <c:pt idx="1178">
                  <c:v>52657</c:v>
                </c:pt>
                <c:pt idx="1179">
                  <c:v>52688</c:v>
                </c:pt>
                <c:pt idx="1180">
                  <c:v>52718</c:v>
                </c:pt>
                <c:pt idx="1181">
                  <c:v>52749</c:v>
                </c:pt>
                <c:pt idx="1182">
                  <c:v>52779</c:v>
                </c:pt>
                <c:pt idx="1183">
                  <c:v>52810</c:v>
                </c:pt>
                <c:pt idx="1184">
                  <c:v>52841</c:v>
                </c:pt>
                <c:pt idx="1185">
                  <c:v>52871</c:v>
                </c:pt>
                <c:pt idx="1186">
                  <c:v>52902</c:v>
                </c:pt>
                <c:pt idx="1187">
                  <c:v>52932</c:v>
                </c:pt>
                <c:pt idx="1188">
                  <c:v>52963</c:v>
                </c:pt>
                <c:pt idx="1189">
                  <c:v>52994</c:v>
                </c:pt>
                <c:pt idx="1190">
                  <c:v>53022</c:v>
                </c:pt>
                <c:pt idx="1191">
                  <c:v>53053</c:v>
                </c:pt>
                <c:pt idx="1192">
                  <c:v>53083</c:v>
                </c:pt>
                <c:pt idx="1193">
                  <c:v>53114</c:v>
                </c:pt>
                <c:pt idx="1194">
                  <c:v>53144</c:v>
                </c:pt>
                <c:pt idx="1195">
                  <c:v>53175</c:v>
                </c:pt>
                <c:pt idx="1196">
                  <c:v>53206</c:v>
                </c:pt>
                <c:pt idx="1197">
                  <c:v>53236</c:v>
                </c:pt>
                <c:pt idx="1198">
                  <c:v>53267</c:v>
                </c:pt>
                <c:pt idx="1199">
                  <c:v>53297</c:v>
                </c:pt>
                <c:pt idx="1200">
                  <c:v>53328</c:v>
                </c:pt>
                <c:pt idx="1201">
                  <c:v>53359</c:v>
                </c:pt>
                <c:pt idx="1202">
                  <c:v>53387</c:v>
                </c:pt>
                <c:pt idx="1203">
                  <c:v>53418</c:v>
                </c:pt>
                <c:pt idx="1204">
                  <c:v>53448</c:v>
                </c:pt>
                <c:pt idx="1205">
                  <c:v>53479</c:v>
                </c:pt>
                <c:pt idx="1206">
                  <c:v>53509</c:v>
                </c:pt>
                <c:pt idx="1207">
                  <c:v>53540</c:v>
                </c:pt>
                <c:pt idx="1208">
                  <c:v>53571</c:v>
                </c:pt>
                <c:pt idx="1209">
                  <c:v>53601</c:v>
                </c:pt>
                <c:pt idx="1210">
                  <c:v>53632</c:v>
                </c:pt>
                <c:pt idx="1211">
                  <c:v>53662</c:v>
                </c:pt>
                <c:pt idx="1212">
                  <c:v>53693</c:v>
                </c:pt>
                <c:pt idx="1213">
                  <c:v>53724</c:v>
                </c:pt>
                <c:pt idx="1214">
                  <c:v>53752</c:v>
                </c:pt>
                <c:pt idx="1215">
                  <c:v>53783</c:v>
                </c:pt>
                <c:pt idx="1216">
                  <c:v>53813</c:v>
                </c:pt>
                <c:pt idx="1217">
                  <c:v>53844</c:v>
                </c:pt>
                <c:pt idx="1218">
                  <c:v>53874</c:v>
                </c:pt>
                <c:pt idx="1219">
                  <c:v>53905</c:v>
                </c:pt>
                <c:pt idx="1220">
                  <c:v>53936</c:v>
                </c:pt>
                <c:pt idx="1221">
                  <c:v>53966</c:v>
                </c:pt>
                <c:pt idx="1222">
                  <c:v>53997</c:v>
                </c:pt>
                <c:pt idx="1223">
                  <c:v>54027</c:v>
                </c:pt>
                <c:pt idx="1224">
                  <c:v>54058</c:v>
                </c:pt>
                <c:pt idx="1225">
                  <c:v>54089</c:v>
                </c:pt>
                <c:pt idx="1226">
                  <c:v>54118</c:v>
                </c:pt>
                <c:pt idx="1227">
                  <c:v>54149</c:v>
                </c:pt>
                <c:pt idx="1228">
                  <c:v>54179</c:v>
                </c:pt>
                <c:pt idx="1229">
                  <c:v>54210</c:v>
                </c:pt>
                <c:pt idx="1230">
                  <c:v>54240</c:v>
                </c:pt>
                <c:pt idx="1231">
                  <c:v>54271</c:v>
                </c:pt>
                <c:pt idx="1232">
                  <c:v>54302</c:v>
                </c:pt>
                <c:pt idx="1233">
                  <c:v>54332</c:v>
                </c:pt>
                <c:pt idx="1234">
                  <c:v>54363</c:v>
                </c:pt>
                <c:pt idx="1235">
                  <c:v>54393</c:v>
                </c:pt>
                <c:pt idx="1236">
                  <c:v>54424</c:v>
                </c:pt>
                <c:pt idx="1237">
                  <c:v>54455</c:v>
                </c:pt>
                <c:pt idx="1238">
                  <c:v>54483</c:v>
                </c:pt>
                <c:pt idx="1239">
                  <c:v>54514</c:v>
                </c:pt>
                <c:pt idx="1240">
                  <c:v>54544</c:v>
                </c:pt>
                <c:pt idx="1241">
                  <c:v>54575</c:v>
                </c:pt>
                <c:pt idx="1242">
                  <c:v>54605</c:v>
                </c:pt>
                <c:pt idx="1243">
                  <c:v>54636</c:v>
                </c:pt>
                <c:pt idx="1244">
                  <c:v>54667</c:v>
                </c:pt>
                <c:pt idx="1245">
                  <c:v>54697</c:v>
                </c:pt>
                <c:pt idx="1246">
                  <c:v>54728</c:v>
                </c:pt>
                <c:pt idx="1247">
                  <c:v>54758</c:v>
                </c:pt>
                <c:pt idx="1248">
                  <c:v>54789</c:v>
                </c:pt>
                <c:pt idx="1249">
                  <c:v>54820</c:v>
                </c:pt>
                <c:pt idx="1250">
                  <c:v>54848</c:v>
                </c:pt>
                <c:pt idx="1251">
                  <c:v>54879</c:v>
                </c:pt>
                <c:pt idx="1252">
                  <c:v>54909</c:v>
                </c:pt>
                <c:pt idx="1253">
                  <c:v>54940</c:v>
                </c:pt>
                <c:pt idx="1254">
                  <c:v>54970</c:v>
                </c:pt>
                <c:pt idx="1255">
                  <c:v>55001</c:v>
                </c:pt>
                <c:pt idx="1256">
                  <c:v>55032</c:v>
                </c:pt>
              </c:numCache>
            </c:numRef>
          </c:cat>
          <c:val>
            <c:numRef>
              <c:f>Forecast!$D$2:$D$1258</c:f>
              <c:numCache>
                <c:formatCode>General</c:formatCode>
                <c:ptCount val="1257"/>
                <c:pt idx="948" formatCode="0.000">
                  <c:v>75.739999999999995</c:v>
                </c:pt>
                <c:pt idx="949" formatCode="0.000">
                  <c:v>62.581255740081062</c:v>
                </c:pt>
                <c:pt idx="950" formatCode="0.000">
                  <c:v>62.337557018140849</c:v>
                </c:pt>
                <c:pt idx="951" formatCode="0.000">
                  <c:v>62.162621283381142</c:v>
                </c:pt>
                <c:pt idx="952" formatCode="0.000">
                  <c:v>61.89051341302234</c:v>
                </c:pt>
                <c:pt idx="953" formatCode="0.000">
                  <c:v>61.516297746920927</c:v>
                </c:pt>
                <c:pt idx="954" formatCode="0.000">
                  <c:v>61.232877568378562</c:v>
                </c:pt>
                <c:pt idx="955" formatCode="0.000">
                  <c:v>61.002257258803681</c:v>
                </c:pt>
                <c:pt idx="956" formatCode="0.000">
                  <c:v>60.719653141854025</c:v>
                </c:pt>
                <c:pt idx="957" formatCode="0.000">
                  <c:v>60.442958956589479</c:v>
                </c:pt>
                <c:pt idx="958" formatCode="0.000">
                  <c:v>60.189095985789379</c:v>
                </c:pt>
                <c:pt idx="959" formatCode="0.000">
                  <c:v>59.919979426185677</c:v>
                </c:pt>
                <c:pt idx="960" formatCode="0.000">
                  <c:v>59.89533760304932</c:v>
                </c:pt>
                <c:pt idx="961" formatCode="0.000">
                  <c:v>59.685086727376031</c:v>
                </c:pt>
                <c:pt idx="962" formatCode="0.000">
                  <c:v>59.50658514306479</c:v>
                </c:pt>
                <c:pt idx="963" formatCode="0.000">
                  <c:v>59.392161693599704</c:v>
                </c:pt>
                <c:pt idx="964" formatCode="0.000">
                  <c:v>59.176379463568523</c:v>
                </c:pt>
                <c:pt idx="965" formatCode="0.000">
                  <c:v>58.854729422751447</c:v>
                </c:pt>
                <c:pt idx="966" formatCode="0.000">
                  <c:v>58.620482744832458</c:v>
                </c:pt>
                <c:pt idx="967" formatCode="0.000">
                  <c:v>58.435963064837665</c:v>
                </c:pt>
                <c:pt idx="968" formatCode="0.000">
                  <c:v>58.196665360226405</c:v>
                </c:pt>
                <c:pt idx="969" formatCode="0.000">
                  <c:v>57.960727880834966</c:v>
                </c:pt>
                <c:pt idx="970" formatCode="0.000">
                  <c:v>57.74528751134352</c:v>
                </c:pt>
                <c:pt idx="971" formatCode="0.000">
                  <c:v>57.512450419656432</c:v>
                </c:pt>
                <c:pt idx="972" formatCode="0.000">
                  <c:v>57.522114794883763</c:v>
                </c:pt>
                <c:pt idx="973" formatCode="0.000">
                  <c:v>57.344679346735788</c:v>
                </c:pt>
                <c:pt idx="974" formatCode="0.000">
                  <c:v>57.196960736775765</c:v>
                </c:pt>
                <c:pt idx="975" formatCode="0.000">
                  <c:v>57.111757977585391</c:v>
                </c:pt>
                <c:pt idx="976" formatCode="0.000">
                  <c:v>56.923744313657679</c:v>
                </c:pt>
                <c:pt idx="977" formatCode="0.000">
                  <c:v>56.628510390392677</c:v>
                </c:pt>
                <c:pt idx="978" formatCode="0.000">
                  <c:v>56.419417824431832</c:v>
                </c:pt>
                <c:pt idx="979" formatCode="0.000">
                  <c:v>56.258872534045651</c:v>
                </c:pt>
                <c:pt idx="980" formatCode="0.000">
                  <c:v>56.042444544022366</c:v>
                </c:pt>
                <c:pt idx="981" formatCode="0.000">
                  <c:v>55.828340714265572</c:v>
                </c:pt>
                <c:pt idx="982" formatCode="0.000">
                  <c:v>55.633760795407689</c:v>
                </c:pt>
                <c:pt idx="983" formatCode="0.000">
                  <c:v>55.420868680980035</c:v>
                </c:pt>
                <c:pt idx="984" formatCode="0.000">
                  <c:v>55.449615673179395</c:v>
                </c:pt>
                <c:pt idx="985" formatCode="0.000">
                  <c:v>55.29065707908542</c:v>
                </c:pt>
                <c:pt idx="986" formatCode="0.000">
                  <c:v>55.160431762225556</c:v>
                </c:pt>
                <c:pt idx="987" formatCode="0.000">
                  <c:v>55.091996373133966</c:v>
                </c:pt>
                <c:pt idx="988" formatCode="0.000">
                  <c:v>54.920062899031748</c:v>
                </c:pt>
                <c:pt idx="989" formatCode="0.000">
                  <c:v>54.640257947775901</c:v>
                </c:pt>
                <c:pt idx="990" formatCode="0.000">
                  <c:v>54.445976568898864</c:v>
                </c:pt>
                <c:pt idx="991" formatCode="0.000">
                  <c:v>54.299655807587776</c:v>
                </c:pt>
                <c:pt idx="992" formatCode="0.000">
                  <c:v>54.096894709457345</c:v>
                </c:pt>
                <c:pt idx="993" formatCode="0.000">
                  <c:v>53.895927228244233</c:v>
                </c:pt>
                <c:pt idx="994" formatCode="0.000">
                  <c:v>53.713978442242201</c:v>
                </c:pt>
                <c:pt idx="995" formatCode="0.000">
                  <c:v>53.513235951185919</c:v>
                </c:pt>
                <c:pt idx="996" formatCode="0.000">
                  <c:v>53.5536732724986</c:v>
                </c:pt>
                <c:pt idx="997" formatCode="0.000">
                  <c:v>53.406111895255037</c:v>
                </c:pt>
                <c:pt idx="998" formatCode="0.000">
                  <c:v>53.28671509527787</c:v>
                </c:pt>
                <c:pt idx="999" formatCode="0.000">
                  <c:v>53.228707945918579</c:v>
                </c:pt>
                <c:pt idx="1000" formatCode="0.000">
                  <c:v>53.066819747398945</c:v>
                </c:pt>
                <c:pt idx="1001" formatCode="0.000">
                  <c:v>52.796693419508117</c:v>
                </c:pt>
                <c:pt idx="1002" formatCode="0.000">
                  <c:v>52.611739395409018</c:v>
                </c:pt>
                <c:pt idx="1003" formatCode="0.000">
                  <c:v>52.474409242030006</c:v>
                </c:pt>
                <c:pt idx="1004" formatCode="0.000">
                  <c:v>52.28031572554184</c:v>
                </c:pt>
                <c:pt idx="1005" formatCode="0.000">
                  <c:v>52.087705774618627</c:v>
                </c:pt>
                <c:pt idx="1006" formatCode="0.000">
                  <c:v>51.913816747808539</c:v>
                </c:pt>
                <c:pt idx="1007" formatCode="0.000">
                  <c:v>51.720847877171309</c:v>
                </c:pt>
                <c:pt idx="1008" formatCode="0.000">
                  <c:v>51.768783707497725</c:v>
                </c:pt>
                <c:pt idx="1009" formatCode="0.000">
                  <c:v>51.628565076052141</c:v>
                </c:pt>
                <c:pt idx="1010" formatCode="0.000">
                  <c:v>51.516144529523814</c:v>
                </c:pt>
                <c:pt idx="1011" formatCode="0.000">
                  <c:v>51.464868459266413</c:v>
                </c:pt>
                <c:pt idx="1012" formatCode="0.000">
                  <c:v>51.309475133745636</c:v>
                </c:pt>
                <c:pt idx="1013" formatCode="0.000">
                  <c:v>51.045616005702001</c:v>
                </c:pt>
                <c:pt idx="1014" formatCode="0.000">
                  <c:v>50.86670963250765</c:v>
                </c:pt>
                <c:pt idx="1015" formatCode="0.000">
                  <c:v>50.735215321161178</c:v>
                </c:pt>
                <c:pt idx="1016" formatCode="0.000">
                  <c:v>50.54675321658658</c:v>
                </c:pt>
                <c:pt idx="1017" formatCode="0.000">
                  <c:v>50.359577286085909</c:v>
                </c:pt>
                <c:pt idx="1018" formatCode="0.000">
                  <c:v>50.190931606406473</c:v>
                </c:pt>
                <c:pt idx="1019" formatCode="0.000">
                  <c:v>50.0030218257033</c:v>
                </c:pt>
                <c:pt idx="1020" formatCode="0.000">
                  <c:v>50.055838619822829</c:v>
                </c:pt>
                <c:pt idx="1021" formatCode="0.000">
                  <c:v>49.920414163878036</c:v>
                </c:pt>
                <c:pt idx="1022" formatCode="0.000">
                  <c:v>49.812533656104648</c:v>
                </c:pt>
                <c:pt idx="1023" formatCode="0.000">
                  <c:v>49.765636397728684</c:v>
                </c:pt>
                <c:pt idx="1024" formatCode="0.000">
                  <c:v>49.614465794284456</c:v>
                </c:pt>
                <c:pt idx="1025" formatCode="0.000">
                  <c:v>49.354678220326932</c:v>
                </c:pt>
                <c:pt idx="1026" formatCode="0.000">
                  <c:v>49.179696951111417</c:v>
                </c:pt>
                <c:pt idx="1027" formatCode="0.000">
                  <c:v>49.051985818194922</c:v>
                </c:pt>
                <c:pt idx="1028" formatCode="0.000">
                  <c:v>48.867169307677834</c:v>
                </c:pt>
                <c:pt idx="1029" formatCode="0.000">
                  <c:v>48.683505553984055</c:v>
                </c:pt>
                <c:pt idx="1030" formatCode="0.000">
                  <c:v>48.518242635684942</c:v>
                </c:pt>
                <c:pt idx="1031" formatCode="0.000">
                  <c:v>48.333590045688233</c:v>
                </c:pt>
                <c:pt idx="1032" formatCode="0.000">
                  <c:v>48.389542155255732</c:v>
                </c:pt>
                <c:pt idx="1033" formatCode="0.000">
                  <c:v>48.257204127566894</c:v>
                </c:pt>
                <c:pt idx="1034" formatCode="0.000">
                  <c:v>48.152224243516613</c:v>
                </c:pt>
                <c:pt idx="1035" formatCode="0.000">
                  <c:v>48.108116034774191</c:v>
                </c:pt>
                <c:pt idx="1036" formatCode="0.000">
                  <c:v>47.959626072098359</c:v>
                </c:pt>
                <c:pt idx="1037" formatCode="0.000">
                  <c:v>47.702413778393257</c:v>
                </c:pt>
                <c:pt idx="1038" formatCode="0.000">
                  <c:v>47.529905365797497</c:v>
                </c:pt>
                <c:pt idx="1039" formatCode="0.000">
                  <c:v>47.404567496393391</c:v>
                </c:pt>
                <c:pt idx="1040" formatCode="0.000">
                  <c:v>47.222027385275112</c:v>
                </c:pt>
                <c:pt idx="1041" formatCode="0.000">
                  <c:v>47.040545798891515</c:v>
                </c:pt>
                <c:pt idx="1042" formatCode="0.000">
                  <c:v>46.877373355186094</c:v>
                </c:pt>
                <c:pt idx="1043" formatCode="0.000">
                  <c:v>46.694721997870822</c:v>
                </c:pt>
                <c:pt idx="1044" formatCode="0.000">
                  <c:v>46.752588464312012</c:v>
                </c:pt>
                <c:pt idx="1045" formatCode="0.000">
                  <c:v>46.622138104746583</c:v>
                </c:pt>
                <c:pt idx="1046" formatCode="0.000">
                  <c:v>46.518904487079666</c:v>
                </c:pt>
                <c:pt idx="1047" formatCode="0.000">
                  <c:v>46.476462322180673</c:v>
                </c:pt>
                <c:pt idx="1048" formatCode="0.000">
                  <c:v>46.329560242014459</c:v>
                </c:pt>
                <c:pt idx="1049" formatCode="0.000">
                  <c:v>46.073859662556579</c:v>
                </c:pt>
                <c:pt idx="1050" formatCode="0.000">
                  <c:v>45.902788723699715</c:v>
                </c:pt>
                <c:pt idx="1051" formatCode="0.000">
                  <c:v>45.778815952639881</c:v>
                </c:pt>
                <c:pt idx="1052" formatCode="0.000">
                  <c:v>45.597570369489596</c:v>
                </c:pt>
                <c:pt idx="1053" formatCode="0.000">
                  <c:v>45.417314488041328</c:v>
                </c:pt>
                <c:pt idx="1054" formatCode="0.000">
                  <c:v>45.255300618210789</c:v>
                </c:pt>
                <c:pt idx="1055" formatCode="0.000">
                  <c:v>45.073742342503358</c:v>
                </c:pt>
                <c:pt idx="1056" formatCode="0.000">
                  <c:v>45.132637985988111</c:v>
                </c:pt>
                <c:pt idx="1057" formatCode="0.000">
                  <c:v>45.003203734273093</c:v>
                </c:pt>
                <c:pt idx="1058" formatCode="0.000">
                  <c:v>44.900875175501511</c:v>
                </c:pt>
                <c:pt idx="1059" formatCode="0.000">
                  <c:v>44.859278660464568</c:v>
                </c:pt>
                <c:pt idx="1060" formatCode="0.000">
                  <c:v>44.713164222879826</c:v>
                </c:pt>
                <c:pt idx="1061" formatCode="0.000">
                  <c:v>44.458194638471291</c:v>
                </c:pt>
                <c:pt idx="1062" formatCode="0.000">
                  <c:v>44.287799366446322</c:v>
                </c:pt>
                <c:pt idx="1063" formatCode="0.000">
                  <c:v>44.164448214381636</c:v>
                </c:pt>
                <c:pt idx="1064" formatCode="0.000">
                  <c:v>43.983771445269433</c:v>
                </c:pt>
                <c:pt idx="1065" formatCode="0.000">
                  <c:v>43.804032779650214</c:v>
                </c:pt>
                <c:pt idx="1066" formatCode="0.000">
                  <c:v>43.642485699365565</c:v>
                </c:pt>
                <c:pt idx="1067" formatCode="0.000">
                  <c:v>43.461344925276727</c:v>
                </c:pt>
                <c:pt idx="1068" formatCode="0.000">
                  <c:v>43.520609888436773</c:v>
                </c:pt>
                <c:pt idx="1069" formatCode="0.000">
                  <c:v>43.391540531737682</c:v>
                </c:pt>
                <c:pt idx="1070" formatCode="0.000">
                  <c:v>43.289487415320188</c:v>
                </c:pt>
                <c:pt idx="1071" formatCode="0.000">
                  <c:v>43.248121310037355</c:v>
                </c:pt>
                <c:pt idx="1072" formatCode="0.000">
                  <c:v>43.102193236706725</c:v>
                </c:pt>
                <c:pt idx="1073" formatCode="0.000">
                  <c:v>42.847366931062233</c:v>
                </c:pt>
                <c:pt idx="1074" formatCode="0.000">
                  <c:v>42.677072786155769</c:v>
                </c:pt>
                <c:pt idx="1075" formatCode="0.000">
                  <c:v>42.553781518130208</c:v>
                </c:pt>
                <c:pt idx="1076" formatCode="0.000">
                  <c:v>42.373124274116336</c:v>
                </c:pt>
                <c:pt idx="1077" formatCode="0.000">
                  <c:v>42.193365635182083</c:v>
                </c:pt>
                <c:pt idx="1078" formatCode="0.000">
                  <c:v>42.03175992086868</c:v>
                </c:pt>
                <c:pt idx="1079" formatCode="0.000">
                  <c:v>41.850522667661771</c:v>
                </c:pt>
                <c:pt idx="1080" formatCode="0.000">
                  <c:v>41.909654100885909</c:v>
                </c:pt>
                <c:pt idx="1081" formatCode="0.000">
                  <c:v>41.780452410546303</c:v>
                </c:pt>
                <c:pt idx="1082" formatCode="0.000">
                  <c:v>41.678193380898129</c:v>
                </c:pt>
                <c:pt idx="1083" formatCode="0.000">
                  <c:v>41.63658658399536</c:v>
                </c:pt>
                <c:pt idx="1084" formatCode="0.000">
                  <c:v>41.490383755922103</c:v>
                </c:pt>
                <c:pt idx="1085" formatCode="0.000">
                  <c:v>41.235249329545731</c:v>
                </c:pt>
                <c:pt idx="1086" formatCode="0.000">
                  <c:v>41.064614377488411</c:v>
                </c:pt>
                <c:pt idx="1087" formatCode="0.000">
                  <c:v>40.940950278448739</c:v>
                </c:pt>
                <c:pt idx="1088" formatCode="0.000">
                  <c:v>40.759888825626263</c:v>
                </c:pt>
                <c:pt idx="1089" formatCode="0.000">
                  <c:v>40.579695230179091</c:v>
                </c:pt>
                <c:pt idx="1090" formatCode="0.000">
                  <c:v>40.417624426249326</c:v>
                </c:pt>
                <c:pt idx="1091" formatCode="0.000">
                  <c:v>40.235892549905572</c:v>
                </c:pt>
                <c:pt idx="1092" formatCode="0.000">
                  <c:v>40.294500411491676</c:v>
                </c:pt>
                <c:pt idx="1093" formatCode="0.000">
                  <c:v>40.164780058840776</c:v>
                </c:pt>
                <c:pt idx="1094" formatCode="0.000">
                  <c:v>40.061940771580609</c:v>
                </c:pt>
                <c:pt idx="1095" formatCode="0.000">
                  <c:v>40.019726449030031</c:v>
                </c:pt>
                <c:pt idx="1096" formatCode="0.000">
                  <c:v>39.872889358065443</c:v>
                </c:pt>
                <c:pt idx="1097" formatCode="0.000">
                  <c:v>39.617094449825267</c:v>
                </c:pt>
                <c:pt idx="1098" formatCode="0.000">
                  <c:v>39.445773303046217</c:v>
                </c:pt>
                <c:pt idx="1099" formatCode="0.000">
                  <c:v>39.321397790736967</c:v>
                </c:pt>
                <c:pt idx="1100" formatCode="0.000">
                  <c:v>39.139600188942602</c:v>
                </c:pt>
                <c:pt idx="1101" formatCode="0.000">
                  <c:v>38.958646180530295</c:v>
                </c:pt>
                <c:pt idx="1102" formatCode="0.000">
                  <c:v>38.795791160531628</c:v>
                </c:pt>
                <c:pt idx="1103" formatCode="0.000">
                  <c:v>38.613251715391037</c:v>
                </c:pt>
                <c:pt idx="1104" formatCode="0.000">
                  <c:v>38.671029095610223</c:v>
                </c:pt>
                <c:pt idx="1105" formatCode="0.000">
                  <c:v>38.540485642773213</c:v>
                </c:pt>
                <c:pt idx="1106" formatCode="0.000">
                  <c:v>38.436770915236565</c:v>
                </c:pt>
                <c:pt idx="1107" formatCode="0.000">
                  <c:v>38.393659508552119</c:v>
                </c:pt>
                <c:pt idx="1108" formatCode="0.000">
                  <c:v>38.245904091502055</c:v>
                </c:pt>
                <c:pt idx="1109" formatCode="0.000">
                  <c:v>37.989170008252486</c:v>
                </c:pt>
                <c:pt idx="1110" formatCode="0.000">
                  <c:v>37.81688922193117</c:v>
                </c:pt>
                <c:pt idx="1111" formatCode="0.000">
                  <c:v>37.691533981534427</c:v>
                </c:pt>
                <c:pt idx="1112" formatCode="0.000">
                  <c:v>37.508736930917486</c:v>
                </c:pt>
                <c:pt idx="1113" formatCode="0.000">
                  <c:v>37.326764112798635</c:v>
                </c:pt>
                <c:pt idx="1114" formatCode="0.000">
                  <c:v>37.162871274313126</c:v>
                </c:pt>
                <c:pt idx="1115" formatCode="0.000">
                  <c:v>36.97927534646638</c:v>
                </c:pt>
                <c:pt idx="1116" formatCode="0.000">
                  <c:v>37.035977916976705</c:v>
                </c:pt>
                <c:pt idx="1117" formatCode="0.000">
                  <c:v>36.904368679698564</c:v>
                </c:pt>
                <c:pt idx="1118" formatCode="0.000">
                  <c:v>36.799543114612128</c:v>
                </c:pt>
                <c:pt idx="1119" formatCode="0.000">
                  <c:v>36.755303518290646</c:v>
                </c:pt>
                <c:pt idx="1120" formatCode="0.000">
                  <c:v>36.606402869109147</c:v>
                </c:pt>
                <c:pt idx="1121" formatCode="0.000">
                  <c:v>36.348506814387299</c:v>
                </c:pt>
                <c:pt idx="1122" formatCode="0.000">
                  <c:v>36.175047614131046</c:v>
                </c:pt>
                <c:pt idx="1123" formatCode="0.000">
                  <c:v>36.048497808098567</c:v>
                </c:pt>
                <c:pt idx="1124" formatCode="0.000">
                  <c:v>35.864490324944775</c:v>
                </c:pt>
                <c:pt idx="1125" formatCode="0.000">
                  <c:v>35.681291486375038</c:v>
                </c:pt>
                <c:pt idx="1126" formatCode="0.000">
                  <c:v>35.516157312844079</c:v>
                </c:pt>
                <c:pt idx="1127" formatCode="0.000">
                  <c:v>35.331305003149943</c:v>
                </c:pt>
                <c:pt idx="1128" formatCode="0.000">
                  <c:v>35.386736407413252</c:v>
                </c:pt>
                <c:pt idx="1129" formatCode="0.000">
                  <c:v>35.253866109872625</c:v>
                </c:pt>
                <c:pt idx="1130" formatCode="0.000">
                  <c:v>35.147740265318504</c:v>
                </c:pt>
                <c:pt idx="1131" formatCode="0.000">
                  <c:v>35.102186365760936</c:v>
                </c:pt>
                <c:pt idx="1132" formatCode="0.000">
                  <c:v>34.951957631619443</c:v>
                </c:pt>
                <c:pt idx="1133" formatCode="0.000">
                  <c:v>34.692719947494531</c:v>
                </c:pt>
                <c:pt idx="1134" formatCode="0.000">
                  <c:v>34.517905806023684</c:v>
                </c:pt>
                <c:pt idx="1135" formatCode="0.000">
                  <c:v>34.38998797505824</c:v>
                </c:pt>
                <c:pt idx="1136" formatCode="0.000">
                  <c:v>34.204599606915693</c:v>
                </c:pt>
                <c:pt idx="1137" formatCode="0.000">
                  <c:v>34.020007242638172</c:v>
                </c:pt>
                <c:pt idx="1138" formatCode="0.000">
                  <c:v>33.853467117793102</c:v>
                </c:pt>
                <c:pt idx="1139" formatCode="0.000">
                  <c:v>33.667196642166118</c:v>
                </c:pt>
                <c:pt idx="1140" formatCode="0.000">
                  <c:v>33.721197872836441</c:v>
                </c:pt>
                <c:pt idx="1141" formatCode="0.000">
                  <c:v>33.586908198641851</c:v>
                </c:pt>
                <c:pt idx="1142" formatCode="0.000">
                  <c:v>33.479328497426891</c:v>
                </c:pt>
                <c:pt idx="1143" formatCode="0.000">
                  <c:v>33.432309334878681</c:v>
                </c:pt>
                <c:pt idx="1144" formatCode="0.000">
                  <c:v>33.280604123103572</c:v>
                </c:pt>
                <c:pt idx="1145" formatCode="0.000">
                  <c:v>33.019878934803728</c:v>
                </c:pt>
                <c:pt idx="1146" formatCode="0.000">
                  <c:v>32.843566447214265</c:v>
                </c:pt>
                <c:pt idx="1147" formatCode="0.000">
                  <c:v>32.7141396093593</c:v>
                </c:pt>
                <c:pt idx="1148" formatCode="0.000">
                  <c:v>32.527231751381208</c:v>
                </c:pt>
                <c:pt idx="1149" formatCode="0.000">
                  <c:v>32.341109588873955</c:v>
                </c:pt>
                <c:pt idx="1150" formatCode="0.000">
                  <c:v>32.173029528756736</c:v>
                </c:pt>
                <c:pt idx="1151" formatCode="0.000">
                  <c:v>31.985209149037694</c:v>
                </c:pt>
                <c:pt idx="1152" formatCode="0.000">
                  <c:v>32.037650671958566</c:v>
                </c:pt>
                <c:pt idx="1153" formatCode="0.000">
                  <c:v>31.901812504739901</c:v>
                </c:pt>
                <c:pt idx="1154" formatCode="0.000">
                  <c:v>31.792653730236417</c:v>
                </c:pt>
                <c:pt idx="1155" formatCode="0.000">
                  <c:v>31.744046171649117</c:v>
                </c:pt>
                <c:pt idx="1156" formatCode="0.000">
                  <c:v>31.590743394610129</c:v>
                </c:pt>
                <c:pt idx="1157" formatCode="0.000">
                  <c:v>31.328411622607561</c:v>
                </c:pt>
                <c:pt idx="1158" formatCode="0.000">
                  <c:v>31.15048368098163</c:v>
                </c:pt>
                <c:pt idx="1159" formatCode="0.000">
                  <c:v>31.019432664238209</c:v>
                </c:pt>
                <c:pt idx="1160" formatCode="0.000">
                  <c:v>30.830892045433934</c:v>
                </c:pt>
                <c:pt idx="1161" formatCode="0.000">
                  <c:v>30.643128680564118</c:v>
                </c:pt>
                <c:pt idx="1162" formatCode="0.000">
                  <c:v>30.473399114489617</c:v>
                </c:pt>
                <c:pt idx="1163" formatCode="0.000">
                  <c:v>30.283921060752348</c:v>
                </c:pt>
                <c:pt idx="1164" formatCode="0.000">
                  <c:v>30.334696874770415</c:v>
                </c:pt>
                <c:pt idx="1165" formatCode="0.000">
                  <c:v>30.197204437831729</c:v>
                </c:pt>
                <c:pt idx="1166" formatCode="0.000">
                  <c:v>30.086364059224778</c:v>
                </c:pt>
                <c:pt idx="1167" formatCode="0.000">
                  <c:v>30.036067250167562</c:v>
                </c:pt>
                <c:pt idx="1168" formatCode="0.000">
                  <c:v>29.8810677004779</c:v>
                </c:pt>
                <c:pt idx="1169" formatCode="0.000">
                  <c:v>29.617031755707387</c:v>
                </c:pt>
                <c:pt idx="1170" formatCode="0.000">
                  <c:v>29.437392361181139</c:v>
                </c:pt>
                <c:pt idx="1171" formatCode="0.000">
                  <c:v>29.30462272935354</c:v>
                </c:pt>
                <c:pt idx="1172" formatCode="0.000">
                  <c:v>29.114356449234862</c:v>
                </c:pt>
                <c:pt idx="1173" formatCode="0.000">
                  <c:v>28.924860490819555</c:v>
                </c:pt>
                <c:pt idx="1174" formatCode="0.000">
                  <c:v>28.753391511052385</c:v>
                </c:pt>
                <c:pt idx="1175" formatCode="0.000">
                  <c:v>28.562167333682567</c:v>
                </c:pt>
                <c:pt idx="1176" formatCode="0.000">
                  <c:v>28.611190422496279</c:v>
                </c:pt>
                <c:pt idx="1177" formatCode="0.000">
                  <c:v>28.471956786258957</c:v>
                </c:pt>
                <c:pt idx="1178" formatCode="0.000">
                  <c:v>28.35935060342598</c:v>
                </c:pt>
                <c:pt idx="1179" formatCode="0.000">
                  <c:v>28.307281705271976</c:v>
                </c:pt>
                <c:pt idx="1180" formatCode="0.000">
                  <c:v>28.150503882950289</c:v>
                </c:pt>
                <c:pt idx="1181" formatCode="0.000">
                  <c:v>27.884683581684357</c:v>
                </c:pt>
                <c:pt idx="1182" formatCode="0.000">
                  <c:v>27.703253844839921</c:v>
                </c:pt>
                <c:pt idx="1183" formatCode="0.000">
                  <c:v>27.568687981312664</c:v>
                </c:pt>
                <c:pt idx="1184" formatCode="0.000">
                  <c:v>27.376619674985747</c:v>
                </c:pt>
                <c:pt idx="1185" formatCode="0.000">
                  <c:v>27.18531598918851</c:v>
                </c:pt>
                <c:pt idx="1186" formatCode="0.000">
                  <c:v>27.01203367269224</c:v>
                </c:pt>
                <c:pt idx="1187" formatCode="0.000">
                  <c:v>26.818990639593196</c:v>
                </c:pt>
                <c:pt idx="1188" formatCode="0.000">
                  <c:v>26.866189442573472</c:v>
                </c:pt>
                <c:pt idx="1189" formatCode="0.000">
                  <c:v>26.7251430346723</c:v>
                </c:pt>
                <c:pt idx="1190" formatCode="0.000">
                  <c:v>26.610701791722903</c:v>
                </c:pt>
                <c:pt idx="1191" formatCode="0.000">
                  <c:v>26.556792663564352</c:v>
                </c:pt>
                <c:pt idx="1192" formatCode="0.000">
                  <c:v>26.398169524683539</c:v>
                </c:pt>
                <c:pt idx="1193" formatCode="0.000">
                  <c:v>26.130498902319161</c:v>
                </c:pt>
                <c:pt idx="1194" formatCode="0.000">
                  <c:v>25.947213920558369</c:v>
                </c:pt>
                <c:pt idx="1195" formatCode="0.000">
                  <c:v>25.810787967748567</c:v>
                </c:pt>
                <c:pt idx="1196" formatCode="0.000">
                  <c:v>25.616854805978647</c:v>
                </c:pt>
                <c:pt idx="1197" formatCode="0.000">
                  <c:v>25.423681575560693</c:v>
                </c:pt>
                <c:pt idx="1198" formatCode="0.000">
                  <c:v>25.248525101048273</c:v>
                </c:pt>
                <c:pt idx="1199" formatCode="0.000">
                  <c:v>25.053603371141662</c:v>
                </c:pt>
                <c:pt idx="1200" formatCode="0.000">
                  <c:v>25.098919011970281</c:v>
                </c:pt>
                <c:pt idx="1201" formatCode="0.000">
                  <c:v>24.956000873985673</c:v>
                </c:pt>
                <c:pt idx="1202" formatCode="0.000">
                  <c:v>24.839667594996897</c:v>
                </c:pt>
                <c:pt idx="1203" formatCode="0.000">
                  <c:v>24.783862180774136</c:v>
                </c:pt>
                <c:pt idx="1204" formatCode="0.000">
                  <c:v>24.623338574808201</c:v>
                </c:pt>
                <c:pt idx="1205" formatCode="0.000">
                  <c:v>24.353763372286522</c:v>
                </c:pt>
                <c:pt idx="1206" formatCode="0.000">
                  <c:v>24.168569764208939</c:v>
                </c:pt>
                <c:pt idx="1207" formatCode="0.000">
                  <c:v>24.030231204817838</c:v>
                </c:pt>
                <c:pt idx="1208" formatCode="0.000">
                  <c:v>23.834381521097725</c:v>
                </c:pt>
                <c:pt idx="1209" formatCode="0.000">
                  <c:v>23.639287917274586</c:v>
                </c:pt>
                <c:pt idx="1210" formatCode="0.000">
                  <c:v>23.462207280851686</c:v>
                </c:pt>
                <c:pt idx="1211" formatCode="0.000">
                  <c:v>23.26535766253167</c:v>
                </c:pt>
                <c:pt idx="1212" formatCode="0.000">
                  <c:v>23.308741749515917</c:v>
                </c:pt>
                <c:pt idx="1213" formatCode="0.000">
                  <c:v>23.16390335759769</c:v>
                </c:pt>
                <c:pt idx="1214" formatCode="0.000">
                  <c:v>23.045631228373338</c:v>
                </c:pt>
                <c:pt idx="1215" formatCode="0.000">
                  <c:v>22.987883477776322</c:v>
                </c:pt>
                <c:pt idx="1216" formatCode="0.000">
                  <c:v>22.825414106787647</c:v>
                </c:pt>
                <c:pt idx="1217" formatCode="0.000">
                  <c:v>22.553889767233059</c:v>
                </c:pt>
                <c:pt idx="1218" formatCode="0.000">
                  <c:v>22.366743705913535</c:v>
                </c:pt>
                <c:pt idx="1219" formatCode="0.000">
                  <c:v>22.226449432049975</c:v>
                </c:pt>
                <c:pt idx="1220" formatCode="0.000">
                  <c:v>22.028640826796774</c:v>
                </c:pt>
                <c:pt idx="1221" formatCode="0.000">
                  <c:v>21.831585147755106</c:v>
                </c:pt>
                <c:pt idx="1222" formatCode="0.000">
                  <c:v>21.652539335022212</c:v>
                </c:pt>
                <c:pt idx="1223" formatCode="0.000">
                  <c:v>21.453721491126885</c:v>
                </c:pt>
                <c:pt idx="1224" formatCode="0.000">
                  <c:v>21.495134354341729</c:v>
                </c:pt>
                <c:pt idx="1225" formatCode="0.000">
                  <c:v>21.34833587116448</c:v>
                </c:pt>
                <c:pt idx="1226" formatCode="0.000">
                  <c:v>21.228086539066339</c:v>
                </c:pt>
                <c:pt idx="1227" formatCode="0.000">
                  <c:v>21.168358737534419</c:v>
                </c:pt>
                <c:pt idx="1228" formatCode="0.000">
                  <c:v>21.003906515710057</c:v>
                </c:pt>
                <c:pt idx="1229" formatCode="0.000">
                  <c:v>20.730396572886036</c:v>
                </c:pt>
                <c:pt idx="1230" formatCode="0.000">
                  <c:v>20.541262202648724</c:v>
                </c:pt>
                <c:pt idx="1231" formatCode="0.000">
                  <c:v>20.398976960334039</c:v>
                </c:pt>
                <c:pt idx="1232" formatCode="0.000">
                  <c:v>20.199174772552027</c:v>
                </c:pt>
                <c:pt idx="1233" formatCode="0.000">
                  <c:v>20.000122941711155</c:v>
                </c:pt>
                <c:pt idx="1234" formatCode="0.000">
                  <c:v>19.819078452078159</c:v>
                </c:pt>
                <c:pt idx="1235" formatCode="0.000">
                  <c:v>19.618259449724178</c:v>
                </c:pt>
                <c:pt idx="1236" formatCode="0.000">
                  <c:v>19.657668715846981</c:v>
                </c:pt>
                <c:pt idx="1237" formatCode="0.000">
                  <c:v>19.508877576327535</c:v>
                </c:pt>
                <c:pt idx="1238" formatCode="0.000">
                  <c:v>19.38661977389485</c:v>
                </c:pt>
                <c:pt idx="1239" formatCode="0.000">
                  <c:v>19.324881189741262</c:v>
                </c:pt>
                <c:pt idx="1240" formatCode="0.000">
                  <c:v>19.158415913550002</c:v>
                </c:pt>
                <c:pt idx="1241" formatCode="0.000">
                  <c:v>18.882890684587366</c:v>
                </c:pt>
                <c:pt idx="1242" formatCode="0.000">
                  <c:v>18.691738835854053</c:v>
                </c:pt>
                <c:pt idx="1243" formatCode="0.000">
                  <c:v>18.547433961549984</c:v>
                </c:pt>
                <c:pt idx="1244" formatCode="0.000">
                  <c:v>18.345610026607901</c:v>
                </c:pt>
                <c:pt idx="1245" formatCode="0.000">
                  <c:v>18.144534371226101</c:v>
                </c:pt>
                <c:pt idx="1246" formatCode="0.000">
                  <c:v>17.961464016936887</c:v>
                </c:pt>
                <c:pt idx="1247" formatCode="0.000">
                  <c:v>17.758617146560951</c:v>
                </c:pt>
                <c:pt idx="1248" formatCode="0.000">
                  <c:v>17.795996577537821</c:v>
                </c:pt>
                <c:pt idx="1249" formatCode="0.000">
                  <c:v>17.645186335543258</c:v>
                </c:pt>
                <c:pt idx="1250" formatCode="0.000">
                  <c:v>17.520894757504792</c:v>
                </c:pt>
                <c:pt idx="1251" formatCode="0.000">
                  <c:v>17.457120537424899</c:v>
                </c:pt>
                <c:pt idx="1252" formatCode="0.000">
                  <c:v>17.288617799263633</c:v>
                </c:pt>
                <c:pt idx="1253" formatCode="0.000">
                  <c:v>17.011053316095129</c:v>
                </c:pt>
                <c:pt idx="1254" formatCode="0.000">
                  <c:v>16.817860454266139</c:v>
                </c:pt>
                <c:pt idx="1255" formatCode="0.000">
                  <c:v>16.671512840868132</c:v>
                </c:pt>
                <c:pt idx="1256" formatCode="0.000">
                  <c:v>16.467644473277801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E8-432B-BA74-D31F52CFF283}"/>
            </c:ext>
          </c:extLst>
        </c:ser>
        <c:ser>
          <c:idx val="3"/>
          <c:order val="3"/>
          <c:tx>
            <c:strRef>
              <c:f>Forecast!$E$1</c:f>
              <c:strCache>
                <c:ptCount val="1"/>
                <c:pt idx="0">
                  <c:v>Upper Confidence Bound(WTISPLC)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Forecast!$A$2:$A$1258</c:f>
              <c:numCache>
                <c:formatCode>yyyy\-mm\-dd</c:formatCode>
                <c:ptCount val="1257"/>
                <c:pt idx="0">
                  <c:v>16803</c:v>
                </c:pt>
                <c:pt idx="1">
                  <c:v>16834</c:v>
                </c:pt>
                <c:pt idx="2">
                  <c:v>16862</c:v>
                </c:pt>
                <c:pt idx="3">
                  <c:v>16893</c:v>
                </c:pt>
                <c:pt idx="4">
                  <c:v>16923</c:v>
                </c:pt>
                <c:pt idx="5">
                  <c:v>16954</c:v>
                </c:pt>
                <c:pt idx="6">
                  <c:v>16984</c:v>
                </c:pt>
                <c:pt idx="7">
                  <c:v>17015</c:v>
                </c:pt>
                <c:pt idx="8">
                  <c:v>17046</c:v>
                </c:pt>
                <c:pt idx="9">
                  <c:v>17076</c:v>
                </c:pt>
                <c:pt idx="10">
                  <c:v>17107</c:v>
                </c:pt>
                <c:pt idx="11">
                  <c:v>17137</c:v>
                </c:pt>
                <c:pt idx="12">
                  <c:v>17168</c:v>
                </c:pt>
                <c:pt idx="13">
                  <c:v>17199</c:v>
                </c:pt>
                <c:pt idx="14">
                  <c:v>17227</c:v>
                </c:pt>
                <c:pt idx="15">
                  <c:v>17258</c:v>
                </c:pt>
                <c:pt idx="16">
                  <c:v>17288</c:v>
                </c:pt>
                <c:pt idx="17">
                  <c:v>17319</c:v>
                </c:pt>
                <c:pt idx="18">
                  <c:v>17349</c:v>
                </c:pt>
                <c:pt idx="19">
                  <c:v>17380</c:v>
                </c:pt>
                <c:pt idx="20">
                  <c:v>17411</c:v>
                </c:pt>
                <c:pt idx="21">
                  <c:v>17441</c:v>
                </c:pt>
                <c:pt idx="22">
                  <c:v>17472</c:v>
                </c:pt>
                <c:pt idx="23">
                  <c:v>17502</c:v>
                </c:pt>
                <c:pt idx="24">
                  <c:v>17533</c:v>
                </c:pt>
                <c:pt idx="25">
                  <c:v>17564</c:v>
                </c:pt>
                <c:pt idx="26">
                  <c:v>17593</c:v>
                </c:pt>
                <c:pt idx="27">
                  <c:v>17624</c:v>
                </c:pt>
                <c:pt idx="28">
                  <c:v>17654</c:v>
                </c:pt>
                <c:pt idx="29">
                  <c:v>17685</c:v>
                </c:pt>
                <c:pt idx="30">
                  <c:v>17715</c:v>
                </c:pt>
                <c:pt idx="31">
                  <c:v>17746</c:v>
                </c:pt>
                <c:pt idx="32">
                  <c:v>17777</c:v>
                </c:pt>
                <c:pt idx="33">
                  <c:v>17807</c:v>
                </c:pt>
                <c:pt idx="34">
                  <c:v>17838</c:v>
                </c:pt>
                <c:pt idx="35">
                  <c:v>17868</c:v>
                </c:pt>
                <c:pt idx="36">
                  <c:v>17899</c:v>
                </c:pt>
                <c:pt idx="37">
                  <c:v>17930</c:v>
                </c:pt>
                <c:pt idx="38">
                  <c:v>17958</c:v>
                </c:pt>
                <c:pt idx="39">
                  <c:v>17989</c:v>
                </c:pt>
                <c:pt idx="40">
                  <c:v>18019</c:v>
                </c:pt>
                <c:pt idx="41">
                  <c:v>18050</c:v>
                </c:pt>
                <c:pt idx="42">
                  <c:v>18080</c:v>
                </c:pt>
                <c:pt idx="43">
                  <c:v>18111</c:v>
                </c:pt>
                <c:pt idx="44">
                  <c:v>18142</c:v>
                </c:pt>
                <c:pt idx="45">
                  <c:v>18172</c:v>
                </c:pt>
                <c:pt idx="46">
                  <c:v>18203</c:v>
                </c:pt>
                <c:pt idx="47">
                  <c:v>18233</c:v>
                </c:pt>
                <c:pt idx="48">
                  <c:v>18264</c:v>
                </c:pt>
                <c:pt idx="49">
                  <c:v>18295</c:v>
                </c:pt>
                <c:pt idx="50">
                  <c:v>18323</c:v>
                </c:pt>
                <c:pt idx="51">
                  <c:v>18354</c:v>
                </c:pt>
                <c:pt idx="52">
                  <c:v>18384</c:v>
                </c:pt>
                <c:pt idx="53">
                  <c:v>18415</c:v>
                </c:pt>
                <c:pt idx="54">
                  <c:v>18445</c:v>
                </c:pt>
                <c:pt idx="55">
                  <c:v>18476</c:v>
                </c:pt>
                <c:pt idx="56">
                  <c:v>18507</c:v>
                </c:pt>
                <c:pt idx="57">
                  <c:v>18537</c:v>
                </c:pt>
                <c:pt idx="58">
                  <c:v>18568</c:v>
                </c:pt>
                <c:pt idx="59">
                  <c:v>18598</c:v>
                </c:pt>
                <c:pt idx="60">
                  <c:v>18629</c:v>
                </c:pt>
                <c:pt idx="61">
                  <c:v>18660</c:v>
                </c:pt>
                <c:pt idx="62">
                  <c:v>18688</c:v>
                </c:pt>
                <c:pt idx="63">
                  <c:v>18719</c:v>
                </c:pt>
                <c:pt idx="64">
                  <c:v>18749</c:v>
                </c:pt>
                <c:pt idx="65">
                  <c:v>18780</c:v>
                </c:pt>
                <c:pt idx="66">
                  <c:v>18810</c:v>
                </c:pt>
                <c:pt idx="67">
                  <c:v>18841</c:v>
                </c:pt>
                <c:pt idx="68">
                  <c:v>18872</c:v>
                </c:pt>
                <c:pt idx="69">
                  <c:v>18902</c:v>
                </c:pt>
                <c:pt idx="70">
                  <c:v>18933</c:v>
                </c:pt>
                <c:pt idx="71">
                  <c:v>18963</c:v>
                </c:pt>
                <c:pt idx="72">
                  <c:v>18994</c:v>
                </c:pt>
                <c:pt idx="73">
                  <c:v>19025</c:v>
                </c:pt>
                <c:pt idx="74">
                  <c:v>19054</c:v>
                </c:pt>
                <c:pt idx="75">
                  <c:v>19085</c:v>
                </c:pt>
                <c:pt idx="76">
                  <c:v>19115</c:v>
                </c:pt>
                <c:pt idx="77">
                  <c:v>19146</c:v>
                </c:pt>
                <c:pt idx="78">
                  <c:v>19176</c:v>
                </c:pt>
                <c:pt idx="79">
                  <c:v>19207</c:v>
                </c:pt>
                <c:pt idx="80">
                  <c:v>19238</c:v>
                </c:pt>
                <c:pt idx="81">
                  <c:v>19268</c:v>
                </c:pt>
                <c:pt idx="82">
                  <c:v>19299</c:v>
                </c:pt>
                <c:pt idx="83">
                  <c:v>19329</c:v>
                </c:pt>
                <c:pt idx="84">
                  <c:v>19360</c:v>
                </c:pt>
                <c:pt idx="85">
                  <c:v>19391</c:v>
                </c:pt>
                <c:pt idx="86">
                  <c:v>19419</c:v>
                </c:pt>
                <c:pt idx="87">
                  <c:v>19450</c:v>
                </c:pt>
                <c:pt idx="88">
                  <c:v>19480</c:v>
                </c:pt>
                <c:pt idx="89">
                  <c:v>19511</c:v>
                </c:pt>
                <c:pt idx="90">
                  <c:v>19541</c:v>
                </c:pt>
                <c:pt idx="91">
                  <c:v>19572</c:v>
                </c:pt>
                <c:pt idx="92">
                  <c:v>19603</c:v>
                </c:pt>
                <c:pt idx="93">
                  <c:v>19633</c:v>
                </c:pt>
                <c:pt idx="94">
                  <c:v>19664</c:v>
                </c:pt>
                <c:pt idx="95">
                  <c:v>19694</c:v>
                </c:pt>
                <c:pt idx="96">
                  <c:v>19725</c:v>
                </c:pt>
                <c:pt idx="97">
                  <c:v>19756</c:v>
                </c:pt>
                <c:pt idx="98">
                  <c:v>19784</c:v>
                </c:pt>
                <c:pt idx="99">
                  <c:v>19815</c:v>
                </c:pt>
                <c:pt idx="100">
                  <c:v>19845</c:v>
                </c:pt>
                <c:pt idx="101">
                  <c:v>19876</c:v>
                </c:pt>
                <c:pt idx="102">
                  <c:v>19906</c:v>
                </c:pt>
                <c:pt idx="103">
                  <c:v>19937</c:v>
                </c:pt>
                <c:pt idx="104">
                  <c:v>19968</c:v>
                </c:pt>
                <c:pt idx="105">
                  <c:v>19998</c:v>
                </c:pt>
                <c:pt idx="106">
                  <c:v>20029</c:v>
                </c:pt>
                <c:pt idx="107">
                  <c:v>20059</c:v>
                </c:pt>
                <c:pt idx="108">
                  <c:v>20090</c:v>
                </c:pt>
                <c:pt idx="109">
                  <c:v>20121</c:v>
                </c:pt>
                <c:pt idx="110">
                  <c:v>20149</c:v>
                </c:pt>
                <c:pt idx="111">
                  <c:v>20180</c:v>
                </c:pt>
                <c:pt idx="112">
                  <c:v>20210</c:v>
                </c:pt>
                <c:pt idx="113">
                  <c:v>20241</c:v>
                </c:pt>
                <c:pt idx="114">
                  <c:v>20271</c:v>
                </c:pt>
                <c:pt idx="115">
                  <c:v>20302</c:v>
                </c:pt>
                <c:pt idx="116">
                  <c:v>20333</c:v>
                </c:pt>
                <c:pt idx="117">
                  <c:v>20363</c:v>
                </c:pt>
                <c:pt idx="118">
                  <c:v>20394</c:v>
                </c:pt>
                <c:pt idx="119">
                  <c:v>20424</c:v>
                </c:pt>
                <c:pt idx="120">
                  <c:v>20455</c:v>
                </c:pt>
                <c:pt idx="121">
                  <c:v>20486</c:v>
                </c:pt>
                <c:pt idx="122">
                  <c:v>20515</c:v>
                </c:pt>
                <c:pt idx="123">
                  <c:v>20546</c:v>
                </c:pt>
                <c:pt idx="124">
                  <c:v>20576</c:v>
                </c:pt>
                <c:pt idx="125">
                  <c:v>20607</c:v>
                </c:pt>
                <c:pt idx="126">
                  <c:v>20637</c:v>
                </c:pt>
                <c:pt idx="127">
                  <c:v>20668</c:v>
                </c:pt>
                <c:pt idx="128">
                  <c:v>20699</c:v>
                </c:pt>
                <c:pt idx="129">
                  <c:v>20729</c:v>
                </c:pt>
                <c:pt idx="130">
                  <c:v>20760</c:v>
                </c:pt>
                <c:pt idx="131">
                  <c:v>20790</c:v>
                </c:pt>
                <c:pt idx="132">
                  <c:v>20821</c:v>
                </c:pt>
                <c:pt idx="133">
                  <c:v>20852</c:v>
                </c:pt>
                <c:pt idx="134">
                  <c:v>20880</c:v>
                </c:pt>
                <c:pt idx="135">
                  <c:v>20911</c:v>
                </c:pt>
                <c:pt idx="136">
                  <c:v>20941</c:v>
                </c:pt>
                <c:pt idx="137">
                  <c:v>20972</c:v>
                </c:pt>
                <c:pt idx="138">
                  <c:v>21002</c:v>
                </c:pt>
                <c:pt idx="139">
                  <c:v>21033</c:v>
                </c:pt>
                <c:pt idx="140">
                  <c:v>21064</c:v>
                </c:pt>
                <c:pt idx="141">
                  <c:v>21094</c:v>
                </c:pt>
                <c:pt idx="142">
                  <c:v>21125</c:v>
                </c:pt>
                <c:pt idx="143">
                  <c:v>21155</c:v>
                </c:pt>
                <c:pt idx="144">
                  <c:v>21186</c:v>
                </c:pt>
                <c:pt idx="145">
                  <c:v>21217</c:v>
                </c:pt>
                <c:pt idx="146">
                  <c:v>21245</c:v>
                </c:pt>
                <c:pt idx="147">
                  <c:v>21276</c:v>
                </c:pt>
                <c:pt idx="148">
                  <c:v>21306</c:v>
                </c:pt>
                <c:pt idx="149">
                  <c:v>21337</c:v>
                </c:pt>
                <c:pt idx="150">
                  <c:v>21367</c:v>
                </c:pt>
                <c:pt idx="151">
                  <c:v>21398</c:v>
                </c:pt>
                <c:pt idx="152">
                  <c:v>21429</c:v>
                </c:pt>
                <c:pt idx="153">
                  <c:v>21459</c:v>
                </c:pt>
                <c:pt idx="154">
                  <c:v>21490</c:v>
                </c:pt>
                <c:pt idx="155">
                  <c:v>21520</c:v>
                </c:pt>
                <c:pt idx="156">
                  <c:v>21551</c:v>
                </c:pt>
                <c:pt idx="157">
                  <c:v>21582</c:v>
                </c:pt>
                <c:pt idx="158">
                  <c:v>21610</c:v>
                </c:pt>
                <c:pt idx="159">
                  <c:v>21641</c:v>
                </c:pt>
                <c:pt idx="160">
                  <c:v>21671</c:v>
                </c:pt>
                <c:pt idx="161">
                  <c:v>21702</c:v>
                </c:pt>
                <c:pt idx="162">
                  <c:v>21732</c:v>
                </c:pt>
                <c:pt idx="163">
                  <c:v>21763</c:v>
                </c:pt>
                <c:pt idx="164">
                  <c:v>21794</c:v>
                </c:pt>
                <c:pt idx="165">
                  <c:v>21824</c:v>
                </c:pt>
                <c:pt idx="166">
                  <c:v>21855</c:v>
                </c:pt>
                <c:pt idx="167">
                  <c:v>21885</c:v>
                </c:pt>
                <c:pt idx="168">
                  <c:v>21916</c:v>
                </c:pt>
                <c:pt idx="169">
                  <c:v>21947</c:v>
                </c:pt>
                <c:pt idx="170">
                  <c:v>21976</c:v>
                </c:pt>
                <c:pt idx="171">
                  <c:v>22007</c:v>
                </c:pt>
                <c:pt idx="172">
                  <c:v>22037</c:v>
                </c:pt>
                <c:pt idx="173">
                  <c:v>22068</c:v>
                </c:pt>
                <c:pt idx="174">
                  <c:v>22098</c:v>
                </c:pt>
                <c:pt idx="175">
                  <c:v>22129</c:v>
                </c:pt>
                <c:pt idx="176">
                  <c:v>22160</c:v>
                </c:pt>
                <c:pt idx="177">
                  <c:v>22190</c:v>
                </c:pt>
                <c:pt idx="178">
                  <c:v>22221</c:v>
                </c:pt>
                <c:pt idx="179">
                  <c:v>22251</c:v>
                </c:pt>
                <c:pt idx="180">
                  <c:v>22282</c:v>
                </c:pt>
                <c:pt idx="181">
                  <c:v>22313</c:v>
                </c:pt>
                <c:pt idx="182">
                  <c:v>22341</c:v>
                </c:pt>
                <c:pt idx="183">
                  <c:v>22372</c:v>
                </c:pt>
                <c:pt idx="184">
                  <c:v>22402</c:v>
                </c:pt>
                <c:pt idx="185">
                  <c:v>22433</c:v>
                </c:pt>
                <c:pt idx="186">
                  <c:v>22463</c:v>
                </c:pt>
                <c:pt idx="187">
                  <c:v>22494</c:v>
                </c:pt>
                <c:pt idx="188">
                  <c:v>22525</c:v>
                </c:pt>
                <c:pt idx="189">
                  <c:v>22555</c:v>
                </c:pt>
                <c:pt idx="190">
                  <c:v>22586</c:v>
                </c:pt>
                <c:pt idx="191">
                  <c:v>22616</c:v>
                </c:pt>
                <c:pt idx="192">
                  <c:v>22647</c:v>
                </c:pt>
                <c:pt idx="193">
                  <c:v>22678</c:v>
                </c:pt>
                <c:pt idx="194">
                  <c:v>22706</c:v>
                </c:pt>
                <c:pt idx="195">
                  <c:v>22737</c:v>
                </c:pt>
                <c:pt idx="196">
                  <c:v>22767</c:v>
                </c:pt>
                <c:pt idx="197">
                  <c:v>22798</c:v>
                </c:pt>
                <c:pt idx="198">
                  <c:v>22828</c:v>
                </c:pt>
                <c:pt idx="199">
                  <c:v>22859</c:v>
                </c:pt>
                <c:pt idx="200">
                  <c:v>22890</c:v>
                </c:pt>
                <c:pt idx="201">
                  <c:v>22920</c:v>
                </c:pt>
                <c:pt idx="202">
                  <c:v>22951</c:v>
                </c:pt>
                <c:pt idx="203">
                  <c:v>22981</c:v>
                </c:pt>
                <c:pt idx="204">
                  <c:v>23012</c:v>
                </c:pt>
                <c:pt idx="205">
                  <c:v>23043</c:v>
                </c:pt>
                <c:pt idx="206">
                  <c:v>23071</c:v>
                </c:pt>
                <c:pt idx="207">
                  <c:v>23102</c:v>
                </c:pt>
                <c:pt idx="208">
                  <c:v>23132</c:v>
                </c:pt>
                <c:pt idx="209">
                  <c:v>23163</c:v>
                </c:pt>
                <c:pt idx="210">
                  <c:v>23193</c:v>
                </c:pt>
                <c:pt idx="211">
                  <c:v>23224</c:v>
                </c:pt>
                <c:pt idx="212">
                  <c:v>23255</c:v>
                </c:pt>
                <c:pt idx="213">
                  <c:v>23285</c:v>
                </c:pt>
                <c:pt idx="214">
                  <c:v>23316</c:v>
                </c:pt>
                <c:pt idx="215">
                  <c:v>23346</c:v>
                </c:pt>
                <c:pt idx="216">
                  <c:v>23377</c:v>
                </c:pt>
                <c:pt idx="217">
                  <c:v>23408</c:v>
                </c:pt>
                <c:pt idx="218">
                  <c:v>23437</c:v>
                </c:pt>
                <c:pt idx="219">
                  <c:v>23468</c:v>
                </c:pt>
                <c:pt idx="220">
                  <c:v>23498</c:v>
                </c:pt>
                <c:pt idx="221">
                  <c:v>23529</c:v>
                </c:pt>
                <c:pt idx="222">
                  <c:v>23559</c:v>
                </c:pt>
                <c:pt idx="223">
                  <c:v>23590</c:v>
                </c:pt>
                <c:pt idx="224">
                  <c:v>23621</c:v>
                </c:pt>
                <c:pt idx="225">
                  <c:v>23651</c:v>
                </c:pt>
                <c:pt idx="226">
                  <c:v>23682</c:v>
                </c:pt>
                <c:pt idx="227">
                  <c:v>23712</c:v>
                </c:pt>
                <c:pt idx="228">
                  <c:v>23743</c:v>
                </c:pt>
                <c:pt idx="229">
                  <c:v>23774</c:v>
                </c:pt>
                <c:pt idx="230">
                  <c:v>23802</c:v>
                </c:pt>
                <c:pt idx="231">
                  <c:v>23833</c:v>
                </c:pt>
                <c:pt idx="232">
                  <c:v>23863</c:v>
                </c:pt>
                <c:pt idx="233">
                  <c:v>23894</c:v>
                </c:pt>
                <c:pt idx="234">
                  <c:v>23924</c:v>
                </c:pt>
                <c:pt idx="235">
                  <c:v>23955</c:v>
                </c:pt>
                <c:pt idx="236">
                  <c:v>23986</c:v>
                </c:pt>
                <c:pt idx="237">
                  <c:v>24016</c:v>
                </c:pt>
                <c:pt idx="238">
                  <c:v>24047</c:v>
                </c:pt>
                <c:pt idx="239">
                  <c:v>24077</c:v>
                </c:pt>
                <c:pt idx="240">
                  <c:v>24108</c:v>
                </c:pt>
                <c:pt idx="241">
                  <c:v>24139</c:v>
                </c:pt>
                <c:pt idx="242">
                  <c:v>24167</c:v>
                </c:pt>
                <c:pt idx="243">
                  <c:v>24198</c:v>
                </c:pt>
                <c:pt idx="244">
                  <c:v>24228</c:v>
                </c:pt>
                <c:pt idx="245">
                  <c:v>24259</c:v>
                </c:pt>
                <c:pt idx="246">
                  <c:v>24289</c:v>
                </c:pt>
                <c:pt idx="247">
                  <c:v>24320</c:v>
                </c:pt>
                <c:pt idx="248">
                  <c:v>24351</c:v>
                </c:pt>
                <c:pt idx="249">
                  <c:v>24381</c:v>
                </c:pt>
                <c:pt idx="250">
                  <c:v>24412</c:v>
                </c:pt>
                <c:pt idx="251">
                  <c:v>24442</c:v>
                </c:pt>
                <c:pt idx="252">
                  <c:v>24473</c:v>
                </c:pt>
                <c:pt idx="253">
                  <c:v>24504</c:v>
                </c:pt>
                <c:pt idx="254">
                  <c:v>24532</c:v>
                </c:pt>
                <c:pt idx="255">
                  <c:v>24563</c:v>
                </c:pt>
                <c:pt idx="256">
                  <c:v>24593</c:v>
                </c:pt>
                <c:pt idx="257">
                  <c:v>24624</c:v>
                </c:pt>
                <c:pt idx="258">
                  <c:v>24654</c:v>
                </c:pt>
                <c:pt idx="259">
                  <c:v>24685</c:v>
                </c:pt>
                <c:pt idx="260">
                  <c:v>24716</c:v>
                </c:pt>
                <c:pt idx="261">
                  <c:v>24746</c:v>
                </c:pt>
                <c:pt idx="262">
                  <c:v>24777</c:v>
                </c:pt>
                <c:pt idx="263">
                  <c:v>24807</c:v>
                </c:pt>
                <c:pt idx="264">
                  <c:v>24838</c:v>
                </c:pt>
                <c:pt idx="265">
                  <c:v>24869</c:v>
                </c:pt>
                <c:pt idx="266">
                  <c:v>24898</c:v>
                </c:pt>
                <c:pt idx="267">
                  <c:v>24929</c:v>
                </c:pt>
                <c:pt idx="268">
                  <c:v>24959</c:v>
                </c:pt>
                <c:pt idx="269">
                  <c:v>24990</c:v>
                </c:pt>
                <c:pt idx="270">
                  <c:v>25020</c:v>
                </c:pt>
                <c:pt idx="271">
                  <c:v>25051</c:v>
                </c:pt>
                <c:pt idx="272">
                  <c:v>25082</c:v>
                </c:pt>
                <c:pt idx="273">
                  <c:v>25112</c:v>
                </c:pt>
                <c:pt idx="274">
                  <c:v>25143</c:v>
                </c:pt>
                <c:pt idx="275">
                  <c:v>25173</c:v>
                </c:pt>
                <c:pt idx="276">
                  <c:v>25204</c:v>
                </c:pt>
                <c:pt idx="277">
                  <c:v>25235</c:v>
                </c:pt>
                <c:pt idx="278">
                  <c:v>25263</c:v>
                </c:pt>
                <c:pt idx="279">
                  <c:v>25294</c:v>
                </c:pt>
                <c:pt idx="280">
                  <c:v>25324</c:v>
                </c:pt>
                <c:pt idx="281">
                  <c:v>25355</c:v>
                </c:pt>
                <c:pt idx="282">
                  <c:v>25385</c:v>
                </c:pt>
                <c:pt idx="283">
                  <c:v>25416</c:v>
                </c:pt>
                <c:pt idx="284">
                  <c:v>25447</c:v>
                </c:pt>
                <c:pt idx="285">
                  <c:v>25477</c:v>
                </c:pt>
                <c:pt idx="286">
                  <c:v>25508</c:v>
                </c:pt>
                <c:pt idx="287">
                  <c:v>25538</c:v>
                </c:pt>
                <c:pt idx="288">
                  <c:v>25569</c:v>
                </c:pt>
                <c:pt idx="289">
                  <c:v>25600</c:v>
                </c:pt>
                <c:pt idx="290">
                  <c:v>25628</c:v>
                </c:pt>
                <c:pt idx="291">
                  <c:v>25659</c:v>
                </c:pt>
                <c:pt idx="292">
                  <c:v>25689</c:v>
                </c:pt>
                <c:pt idx="293">
                  <c:v>25720</c:v>
                </c:pt>
                <c:pt idx="294">
                  <c:v>25750</c:v>
                </c:pt>
                <c:pt idx="295">
                  <c:v>25781</c:v>
                </c:pt>
                <c:pt idx="296">
                  <c:v>25812</c:v>
                </c:pt>
                <c:pt idx="297">
                  <c:v>25842</c:v>
                </c:pt>
                <c:pt idx="298">
                  <c:v>25873</c:v>
                </c:pt>
                <c:pt idx="299">
                  <c:v>25903</c:v>
                </c:pt>
                <c:pt idx="300">
                  <c:v>25934</c:v>
                </c:pt>
                <c:pt idx="301">
                  <c:v>25965</c:v>
                </c:pt>
                <c:pt idx="302">
                  <c:v>25993</c:v>
                </c:pt>
                <c:pt idx="303">
                  <c:v>26024</c:v>
                </c:pt>
                <c:pt idx="304">
                  <c:v>26054</c:v>
                </c:pt>
                <c:pt idx="305">
                  <c:v>26085</c:v>
                </c:pt>
                <c:pt idx="306">
                  <c:v>26115</c:v>
                </c:pt>
                <c:pt idx="307">
                  <c:v>26146</c:v>
                </c:pt>
                <c:pt idx="308">
                  <c:v>26177</c:v>
                </c:pt>
                <c:pt idx="309">
                  <c:v>26207</c:v>
                </c:pt>
                <c:pt idx="310">
                  <c:v>26238</c:v>
                </c:pt>
                <c:pt idx="311">
                  <c:v>26268</c:v>
                </c:pt>
                <c:pt idx="312">
                  <c:v>26299</c:v>
                </c:pt>
                <c:pt idx="313">
                  <c:v>26330</c:v>
                </c:pt>
                <c:pt idx="314">
                  <c:v>26359</c:v>
                </c:pt>
                <c:pt idx="315">
                  <c:v>26390</c:v>
                </c:pt>
                <c:pt idx="316">
                  <c:v>26420</c:v>
                </c:pt>
                <c:pt idx="317">
                  <c:v>26451</c:v>
                </c:pt>
                <c:pt idx="318">
                  <c:v>26481</c:v>
                </c:pt>
                <c:pt idx="319">
                  <c:v>26512</c:v>
                </c:pt>
                <c:pt idx="320">
                  <c:v>26543</c:v>
                </c:pt>
                <c:pt idx="321">
                  <c:v>26573</c:v>
                </c:pt>
                <c:pt idx="322">
                  <c:v>26604</c:v>
                </c:pt>
                <c:pt idx="323">
                  <c:v>26634</c:v>
                </c:pt>
                <c:pt idx="324">
                  <c:v>26665</c:v>
                </c:pt>
                <c:pt idx="325">
                  <c:v>26696</c:v>
                </c:pt>
                <c:pt idx="326">
                  <c:v>26724</c:v>
                </c:pt>
                <c:pt idx="327">
                  <c:v>26755</c:v>
                </c:pt>
                <c:pt idx="328">
                  <c:v>26785</c:v>
                </c:pt>
                <c:pt idx="329">
                  <c:v>26816</c:v>
                </c:pt>
                <c:pt idx="330">
                  <c:v>26846</c:v>
                </c:pt>
                <c:pt idx="331">
                  <c:v>26877</c:v>
                </c:pt>
                <c:pt idx="332">
                  <c:v>26908</c:v>
                </c:pt>
                <c:pt idx="333">
                  <c:v>26938</c:v>
                </c:pt>
                <c:pt idx="334">
                  <c:v>26969</c:v>
                </c:pt>
                <c:pt idx="335">
                  <c:v>26999</c:v>
                </c:pt>
                <c:pt idx="336">
                  <c:v>27030</c:v>
                </c:pt>
                <c:pt idx="337">
                  <c:v>27061</c:v>
                </c:pt>
                <c:pt idx="338">
                  <c:v>27089</c:v>
                </c:pt>
                <c:pt idx="339">
                  <c:v>27120</c:v>
                </c:pt>
                <c:pt idx="340">
                  <c:v>27150</c:v>
                </c:pt>
                <c:pt idx="341">
                  <c:v>27181</c:v>
                </c:pt>
                <c:pt idx="342">
                  <c:v>27211</c:v>
                </c:pt>
                <c:pt idx="343">
                  <c:v>27242</c:v>
                </c:pt>
                <c:pt idx="344">
                  <c:v>27273</c:v>
                </c:pt>
                <c:pt idx="345">
                  <c:v>27303</c:v>
                </c:pt>
                <c:pt idx="346">
                  <c:v>27334</c:v>
                </c:pt>
                <c:pt idx="347">
                  <c:v>27364</c:v>
                </c:pt>
                <c:pt idx="348">
                  <c:v>27395</c:v>
                </c:pt>
                <c:pt idx="349">
                  <c:v>27426</c:v>
                </c:pt>
                <c:pt idx="350">
                  <c:v>27454</c:v>
                </c:pt>
                <c:pt idx="351">
                  <c:v>27485</c:v>
                </c:pt>
                <c:pt idx="352">
                  <c:v>27515</c:v>
                </c:pt>
                <c:pt idx="353">
                  <c:v>27546</c:v>
                </c:pt>
                <c:pt idx="354">
                  <c:v>27576</c:v>
                </c:pt>
                <c:pt idx="355">
                  <c:v>27607</c:v>
                </c:pt>
                <c:pt idx="356">
                  <c:v>27638</c:v>
                </c:pt>
                <c:pt idx="357">
                  <c:v>27668</c:v>
                </c:pt>
                <c:pt idx="358">
                  <c:v>27699</c:v>
                </c:pt>
                <c:pt idx="359">
                  <c:v>27729</c:v>
                </c:pt>
                <c:pt idx="360">
                  <c:v>27760</c:v>
                </c:pt>
                <c:pt idx="361">
                  <c:v>27791</c:v>
                </c:pt>
                <c:pt idx="362">
                  <c:v>27820</c:v>
                </c:pt>
                <c:pt idx="363">
                  <c:v>27851</c:v>
                </c:pt>
                <c:pt idx="364">
                  <c:v>27881</c:v>
                </c:pt>
                <c:pt idx="365">
                  <c:v>27912</c:v>
                </c:pt>
                <c:pt idx="366">
                  <c:v>27942</c:v>
                </c:pt>
                <c:pt idx="367">
                  <c:v>27973</c:v>
                </c:pt>
                <c:pt idx="368">
                  <c:v>28004</c:v>
                </c:pt>
                <c:pt idx="369">
                  <c:v>28034</c:v>
                </c:pt>
                <c:pt idx="370">
                  <c:v>28065</c:v>
                </c:pt>
                <c:pt idx="371">
                  <c:v>28095</c:v>
                </c:pt>
                <c:pt idx="372">
                  <c:v>28126</c:v>
                </c:pt>
                <c:pt idx="373">
                  <c:v>28157</c:v>
                </c:pt>
                <c:pt idx="374">
                  <c:v>28185</c:v>
                </c:pt>
                <c:pt idx="375">
                  <c:v>28216</c:v>
                </c:pt>
                <c:pt idx="376">
                  <c:v>28246</c:v>
                </c:pt>
                <c:pt idx="377">
                  <c:v>28277</c:v>
                </c:pt>
                <c:pt idx="378">
                  <c:v>28307</c:v>
                </c:pt>
                <c:pt idx="379">
                  <c:v>28338</c:v>
                </c:pt>
                <c:pt idx="380">
                  <c:v>28369</c:v>
                </c:pt>
                <c:pt idx="381">
                  <c:v>28399</c:v>
                </c:pt>
                <c:pt idx="382">
                  <c:v>28430</c:v>
                </c:pt>
                <c:pt idx="383">
                  <c:v>28460</c:v>
                </c:pt>
                <c:pt idx="384">
                  <c:v>28491</c:v>
                </c:pt>
                <c:pt idx="385">
                  <c:v>28522</c:v>
                </c:pt>
                <c:pt idx="386">
                  <c:v>28550</c:v>
                </c:pt>
                <c:pt idx="387">
                  <c:v>28581</c:v>
                </c:pt>
                <c:pt idx="388">
                  <c:v>28611</c:v>
                </c:pt>
                <c:pt idx="389">
                  <c:v>28642</c:v>
                </c:pt>
                <c:pt idx="390">
                  <c:v>28672</c:v>
                </c:pt>
                <c:pt idx="391">
                  <c:v>28703</c:v>
                </c:pt>
                <c:pt idx="392">
                  <c:v>28734</c:v>
                </c:pt>
                <c:pt idx="393">
                  <c:v>28764</c:v>
                </c:pt>
                <c:pt idx="394">
                  <c:v>28795</c:v>
                </c:pt>
                <c:pt idx="395">
                  <c:v>28825</c:v>
                </c:pt>
                <c:pt idx="396">
                  <c:v>28856</c:v>
                </c:pt>
                <c:pt idx="397">
                  <c:v>28887</c:v>
                </c:pt>
                <c:pt idx="398">
                  <c:v>28915</c:v>
                </c:pt>
                <c:pt idx="399">
                  <c:v>28946</c:v>
                </c:pt>
                <c:pt idx="400">
                  <c:v>28976</c:v>
                </c:pt>
                <c:pt idx="401">
                  <c:v>29007</c:v>
                </c:pt>
                <c:pt idx="402">
                  <c:v>29037</c:v>
                </c:pt>
                <c:pt idx="403">
                  <c:v>29068</c:v>
                </c:pt>
                <c:pt idx="404">
                  <c:v>29099</c:v>
                </c:pt>
                <c:pt idx="405">
                  <c:v>29129</c:v>
                </c:pt>
                <c:pt idx="406">
                  <c:v>29160</c:v>
                </c:pt>
                <c:pt idx="407">
                  <c:v>29190</c:v>
                </c:pt>
                <c:pt idx="408">
                  <c:v>29221</c:v>
                </c:pt>
                <c:pt idx="409">
                  <c:v>29252</c:v>
                </c:pt>
                <c:pt idx="410">
                  <c:v>29281</c:v>
                </c:pt>
                <c:pt idx="411">
                  <c:v>29312</c:v>
                </c:pt>
                <c:pt idx="412">
                  <c:v>29342</c:v>
                </c:pt>
                <c:pt idx="413">
                  <c:v>29373</c:v>
                </c:pt>
                <c:pt idx="414">
                  <c:v>29403</c:v>
                </c:pt>
                <c:pt idx="415">
                  <c:v>29434</c:v>
                </c:pt>
                <c:pt idx="416">
                  <c:v>29465</c:v>
                </c:pt>
                <c:pt idx="417">
                  <c:v>29495</c:v>
                </c:pt>
                <c:pt idx="418">
                  <c:v>29526</c:v>
                </c:pt>
                <c:pt idx="419">
                  <c:v>29556</c:v>
                </c:pt>
                <c:pt idx="420">
                  <c:v>29587</c:v>
                </c:pt>
                <c:pt idx="421">
                  <c:v>29618</c:v>
                </c:pt>
                <c:pt idx="422">
                  <c:v>29646</c:v>
                </c:pt>
                <c:pt idx="423">
                  <c:v>29677</c:v>
                </c:pt>
                <c:pt idx="424">
                  <c:v>29707</c:v>
                </c:pt>
                <c:pt idx="425">
                  <c:v>29738</c:v>
                </c:pt>
                <c:pt idx="426">
                  <c:v>29768</c:v>
                </c:pt>
                <c:pt idx="427">
                  <c:v>29799</c:v>
                </c:pt>
                <c:pt idx="428">
                  <c:v>29830</c:v>
                </c:pt>
                <c:pt idx="429">
                  <c:v>29860</c:v>
                </c:pt>
                <c:pt idx="430">
                  <c:v>29891</c:v>
                </c:pt>
                <c:pt idx="431">
                  <c:v>29921</c:v>
                </c:pt>
                <c:pt idx="432">
                  <c:v>29952</c:v>
                </c:pt>
                <c:pt idx="433">
                  <c:v>29983</c:v>
                </c:pt>
                <c:pt idx="434">
                  <c:v>30011</c:v>
                </c:pt>
                <c:pt idx="435">
                  <c:v>30042</c:v>
                </c:pt>
                <c:pt idx="436">
                  <c:v>30072</c:v>
                </c:pt>
                <c:pt idx="437">
                  <c:v>30103</c:v>
                </c:pt>
                <c:pt idx="438">
                  <c:v>30133</c:v>
                </c:pt>
                <c:pt idx="439">
                  <c:v>30164</c:v>
                </c:pt>
                <c:pt idx="440">
                  <c:v>30195</c:v>
                </c:pt>
                <c:pt idx="441">
                  <c:v>30225</c:v>
                </c:pt>
                <c:pt idx="442">
                  <c:v>30256</c:v>
                </c:pt>
                <c:pt idx="443">
                  <c:v>30286</c:v>
                </c:pt>
                <c:pt idx="444">
                  <c:v>30317</c:v>
                </c:pt>
                <c:pt idx="445">
                  <c:v>30348</c:v>
                </c:pt>
                <c:pt idx="446">
                  <c:v>30376</c:v>
                </c:pt>
                <c:pt idx="447">
                  <c:v>30407</c:v>
                </c:pt>
                <c:pt idx="448">
                  <c:v>30437</c:v>
                </c:pt>
                <c:pt idx="449">
                  <c:v>30468</c:v>
                </c:pt>
                <c:pt idx="450">
                  <c:v>30498</c:v>
                </c:pt>
                <c:pt idx="451">
                  <c:v>30529</c:v>
                </c:pt>
                <c:pt idx="452">
                  <c:v>30560</c:v>
                </c:pt>
                <c:pt idx="453">
                  <c:v>30590</c:v>
                </c:pt>
                <c:pt idx="454">
                  <c:v>30621</c:v>
                </c:pt>
                <c:pt idx="455">
                  <c:v>30651</c:v>
                </c:pt>
                <c:pt idx="456">
                  <c:v>30682</c:v>
                </c:pt>
                <c:pt idx="457">
                  <c:v>30713</c:v>
                </c:pt>
                <c:pt idx="458">
                  <c:v>30742</c:v>
                </c:pt>
                <c:pt idx="459">
                  <c:v>30773</c:v>
                </c:pt>
                <c:pt idx="460">
                  <c:v>30803</c:v>
                </c:pt>
                <c:pt idx="461">
                  <c:v>30834</c:v>
                </c:pt>
                <c:pt idx="462">
                  <c:v>30864</c:v>
                </c:pt>
                <c:pt idx="463">
                  <c:v>30895</c:v>
                </c:pt>
                <c:pt idx="464">
                  <c:v>30926</c:v>
                </c:pt>
                <c:pt idx="465">
                  <c:v>30956</c:v>
                </c:pt>
                <c:pt idx="466">
                  <c:v>30987</c:v>
                </c:pt>
                <c:pt idx="467">
                  <c:v>31017</c:v>
                </c:pt>
                <c:pt idx="468">
                  <c:v>31048</c:v>
                </c:pt>
                <c:pt idx="469">
                  <c:v>31079</c:v>
                </c:pt>
                <c:pt idx="470">
                  <c:v>31107</c:v>
                </c:pt>
                <c:pt idx="471">
                  <c:v>31138</c:v>
                </c:pt>
                <c:pt idx="472">
                  <c:v>31168</c:v>
                </c:pt>
                <c:pt idx="473">
                  <c:v>31199</c:v>
                </c:pt>
                <c:pt idx="474">
                  <c:v>31229</c:v>
                </c:pt>
                <c:pt idx="475">
                  <c:v>31260</c:v>
                </c:pt>
                <c:pt idx="476">
                  <c:v>31291</c:v>
                </c:pt>
                <c:pt idx="477">
                  <c:v>31321</c:v>
                </c:pt>
                <c:pt idx="478">
                  <c:v>31352</c:v>
                </c:pt>
                <c:pt idx="479">
                  <c:v>31382</c:v>
                </c:pt>
                <c:pt idx="480">
                  <c:v>31413</c:v>
                </c:pt>
                <c:pt idx="481">
                  <c:v>31444</c:v>
                </c:pt>
                <c:pt idx="482">
                  <c:v>31472</c:v>
                </c:pt>
                <c:pt idx="483">
                  <c:v>31503</c:v>
                </c:pt>
                <c:pt idx="484">
                  <c:v>31533</c:v>
                </c:pt>
                <c:pt idx="485">
                  <c:v>31564</c:v>
                </c:pt>
                <c:pt idx="486">
                  <c:v>31594</c:v>
                </c:pt>
                <c:pt idx="487">
                  <c:v>31625</c:v>
                </c:pt>
                <c:pt idx="488">
                  <c:v>31656</c:v>
                </c:pt>
                <c:pt idx="489">
                  <c:v>31686</c:v>
                </c:pt>
                <c:pt idx="490">
                  <c:v>31717</c:v>
                </c:pt>
                <c:pt idx="491">
                  <c:v>31747</c:v>
                </c:pt>
                <c:pt idx="492">
                  <c:v>31778</c:v>
                </c:pt>
                <c:pt idx="493">
                  <c:v>31809</c:v>
                </c:pt>
                <c:pt idx="494">
                  <c:v>31837</c:v>
                </c:pt>
                <c:pt idx="495">
                  <c:v>31868</c:v>
                </c:pt>
                <c:pt idx="496">
                  <c:v>31898</c:v>
                </c:pt>
                <c:pt idx="497">
                  <c:v>31929</c:v>
                </c:pt>
                <c:pt idx="498">
                  <c:v>31959</c:v>
                </c:pt>
                <c:pt idx="499">
                  <c:v>31990</c:v>
                </c:pt>
                <c:pt idx="500">
                  <c:v>32021</c:v>
                </c:pt>
                <c:pt idx="501">
                  <c:v>32051</c:v>
                </c:pt>
                <c:pt idx="502">
                  <c:v>32082</c:v>
                </c:pt>
                <c:pt idx="503">
                  <c:v>32112</c:v>
                </c:pt>
                <c:pt idx="504">
                  <c:v>32143</c:v>
                </c:pt>
                <c:pt idx="505">
                  <c:v>32174</c:v>
                </c:pt>
                <c:pt idx="506">
                  <c:v>32203</c:v>
                </c:pt>
                <c:pt idx="507">
                  <c:v>32234</c:v>
                </c:pt>
                <c:pt idx="508">
                  <c:v>32264</c:v>
                </c:pt>
                <c:pt idx="509">
                  <c:v>32295</c:v>
                </c:pt>
                <c:pt idx="510">
                  <c:v>32325</c:v>
                </c:pt>
                <c:pt idx="511">
                  <c:v>32356</c:v>
                </c:pt>
                <c:pt idx="512">
                  <c:v>32387</c:v>
                </c:pt>
                <c:pt idx="513">
                  <c:v>32417</c:v>
                </c:pt>
                <c:pt idx="514">
                  <c:v>32448</c:v>
                </c:pt>
                <c:pt idx="515">
                  <c:v>32478</c:v>
                </c:pt>
                <c:pt idx="516">
                  <c:v>32509</c:v>
                </c:pt>
                <c:pt idx="517">
                  <c:v>32540</c:v>
                </c:pt>
                <c:pt idx="518">
                  <c:v>32568</c:v>
                </c:pt>
                <c:pt idx="519">
                  <c:v>32599</c:v>
                </c:pt>
                <c:pt idx="520">
                  <c:v>32629</c:v>
                </c:pt>
                <c:pt idx="521">
                  <c:v>32660</c:v>
                </c:pt>
                <c:pt idx="522">
                  <c:v>32690</c:v>
                </c:pt>
                <c:pt idx="523">
                  <c:v>32721</c:v>
                </c:pt>
                <c:pt idx="524">
                  <c:v>32752</c:v>
                </c:pt>
                <c:pt idx="525">
                  <c:v>32782</c:v>
                </c:pt>
                <c:pt idx="526">
                  <c:v>32813</c:v>
                </c:pt>
                <c:pt idx="527">
                  <c:v>32843</c:v>
                </c:pt>
                <c:pt idx="528">
                  <c:v>32874</c:v>
                </c:pt>
                <c:pt idx="529">
                  <c:v>32905</c:v>
                </c:pt>
                <c:pt idx="530">
                  <c:v>32933</c:v>
                </c:pt>
                <c:pt idx="531">
                  <c:v>32964</c:v>
                </c:pt>
                <c:pt idx="532">
                  <c:v>32994</c:v>
                </c:pt>
                <c:pt idx="533">
                  <c:v>33025</c:v>
                </c:pt>
                <c:pt idx="534">
                  <c:v>33055</c:v>
                </c:pt>
                <c:pt idx="535">
                  <c:v>33086</c:v>
                </c:pt>
                <c:pt idx="536">
                  <c:v>33117</c:v>
                </c:pt>
                <c:pt idx="537">
                  <c:v>33147</c:v>
                </c:pt>
                <c:pt idx="538">
                  <c:v>33178</c:v>
                </c:pt>
                <c:pt idx="539">
                  <c:v>33208</c:v>
                </c:pt>
                <c:pt idx="540">
                  <c:v>33239</c:v>
                </c:pt>
                <c:pt idx="541">
                  <c:v>33270</c:v>
                </c:pt>
                <c:pt idx="542">
                  <c:v>33298</c:v>
                </c:pt>
                <c:pt idx="543">
                  <c:v>33329</c:v>
                </c:pt>
                <c:pt idx="544">
                  <c:v>33359</c:v>
                </c:pt>
                <c:pt idx="545">
                  <c:v>33390</c:v>
                </c:pt>
                <c:pt idx="546">
                  <c:v>33420</c:v>
                </c:pt>
                <c:pt idx="547">
                  <c:v>33451</c:v>
                </c:pt>
                <c:pt idx="548">
                  <c:v>33482</c:v>
                </c:pt>
                <c:pt idx="549">
                  <c:v>33512</c:v>
                </c:pt>
                <c:pt idx="550">
                  <c:v>33543</c:v>
                </c:pt>
                <c:pt idx="551">
                  <c:v>33573</c:v>
                </c:pt>
                <c:pt idx="552">
                  <c:v>33604</c:v>
                </c:pt>
                <c:pt idx="553">
                  <c:v>33635</c:v>
                </c:pt>
                <c:pt idx="554">
                  <c:v>33664</c:v>
                </c:pt>
                <c:pt idx="555">
                  <c:v>33695</c:v>
                </c:pt>
                <c:pt idx="556">
                  <c:v>33725</c:v>
                </c:pt>
                <c:pt idx="557">
                  <c:v>33756</c:v>
                </c:pt>
                <c:pt idx="558">
                  <c:v>33786</c:v>
                </c:pt>
                <c:pt idx="559">
                  <c:v>33817</c:v>
                </c:pt>
                <c:pt idx="560">
                  <c:v>33848</c:v>
                </c:pt>
                <c:pt idx="561">
                  <c:v>33878</c:v>
                </c:pt>
                <c:pt idx="562">
                  <c:v>33909</c:v>
                </c:pt>
                <c:pt idx="563">
                  <c:v>33939</c:v>
                </c:pt>
                <c:pt idx="564">
                  <c:v>33970</c:v>
                </c:pt>
                <c:pt idx="565">
                  <c:v>34001</c:v>
                </c:pt>
                <c:pt idx="566">
                  <c:v>34029</c:v>
                </c:pt>
                <c:pt idx="567">
                  <c:v>34060</c:v>
                </c:pt>
                <c:pt idx="568">
                  <c:v>34090</c:v>
                </c:pt>
                <c:pt idx="569">
                  <c:v>34121</c:v>
                </c:pt>
                <c:pt idx="570">
                  <c:v>34151</c:v>
                </c:pt>
                <c:pt idx="571">
                  <c:v>34182</c:v>
                </c:pt>
                <c:pt idx="572">
                  <c:v>34213</c:v>
                </c:pt>
                <c:pt idx="573">
                  <c:v>34243</c:v>
                </c:pt>
                <c:pt idx="574">
                  <c:v>34274</c:v>
                </c:pt>
                <c:pt idx="575">
                  <c:v>34304</c:v>
                </c:pt>
                <c:pt idx="576">
                  <c:v>34335</c:v>
                </c:pt>
                <c:pt idx="577">
                  <c:v>34366</c:v>
                </c:pt>
                <c:pt idx="578">
                  <c:v>34394</c:v>
                </c:pt>
                <c:pt idx="579">
                  <c:v>34425</c:v>
                </c:pt>
                <c:pt idx="580">
                  <c:v>34455</c:v>
                </c:pt>
                <c:pt idx="581">
                  <c:v>34486</c:v>
                </c:pt>
                <c:pt idx="582">
                  <c:v>34516</c:v>
                </c:pt>
                <c:pt idx="583">
                  <c:v>34547</c:v>
                </c:pt>
                <c:pt idx="584">
                  <c:v>34578</c:v>
                </c:pt>
                <c:pt idx="585">
                  <c:v>34608</c:v>
                </c:pt>
                <c:pt idx="586">
                  <c:v>34639</c:v>
                </c:pt>
                <c:pt idx="587">
                  <c:v>34669</c:v>
                </c:pt>
                <c:pt idx="588">
                  <c:v>34700</c:v>
                </c:pt>
                <c:pt idx="589">
                  <c:v>34731</c:v>
                </c:pt>
                <c:pt idx="590">
                  <c:v>34759</c:v>
                </c:pt>
                <c:pt idx="591">
                  <c:v>34790</c:v>
                </c:pt>
                <c:pt idx="592">
                  <c:v>34820</c:v>
                </c:pt>
                <c:pt idx="593">
                  <c:v>34851</c:v>
                </c:pt>
                <c:pt idx="594">
                  <c:v>34881</c:v>
                </c:pt>
                <c:pt idx="595">
                  <c:v>34912</c:v>
                </c:pt>
                <c:pt idx="596">
                  <c:v>34943</c:v>
                </c:pt>
                <c:pt idx="597">
                  <c:v>34973</c:v>
                </c:pt>
                <c:pt idx="598">
                  <c:v>35004</c:v>
                </c:pt>
                <c:pt idx="599">
                  <c:v>35034</c:v>
                </c:pt>
                <c:pt idx="600">
                  <c:v>35065</c:v>
                </c:pt>
                <c:pt idx="601">
                  <c:v>35096</c:v>
                </c:pt>
                <c:pt idx="602">
                  <c:v>35125</c:v>
                </c:pt>
                <c:pt idx="603">
                  <c:v>35156</c:v>
                </c:pt>
                <c:pt idx="604">
                  <c:v>35186</c:v>
                </c:pt>
                <c:pt idx="605">
                  <c:v>35217</c:v>
                </c:pt>
                <c:pt idx="606">
                  <c:v>35247</c:v>
                </c:pt>
                <c:pt idx="607">
                  <c:v>35278</c:v>
                </c:pt>
                <c:pt idx="608">
                  <c:v>35309</c:v>
                </c:pt>
                <c:pt idx="609">
                  <c:v>35339</c:v>
                </c:pt>
                <c:pt idx="610">
                  <c:v>35370</c:v>
                </c:pt>
                <c:pt idx="611">
                  <c:v>35400</c:v>
                </c:pt>
                <c:pt idx="612">
                  <c:v>35431</c:v>
                </c:pt>
                <c:pt idx="613">
                  <c:v>35462</c:v>
                </c:pt>
                <c:pt idx="614">
                  <c:v>35490</c:v>
                </c:pt>
                <c:pt idx="615">
                  <c:v>35521</c:v>
                </c:pt>
                <c:pt idx="616">
                  <c:v>35551</c:v>
                </c:pt>
                <c:pt idx="617">
                  <c:v>35582</c:v>
                </c:pt>
                <c:pt idx="618">
                  <c:v>35612</c:v>
                </c:pt>
                <c:pt idx="619">
                  <c:v>35643</c:v>
                </c:pt>
                <c:pt idx="620">
                  <c:v>35674</c:v>
                </c:pt>
                <c:pt idx="621">
                  <c:v>35704</c:v>
                </c:pt>
                <c:pt idx="622">
                  <c:v>35735</c:v>
                </c:pt>
                <c:pt idx="623">
                  <c:v>35765</c:v>
                </c:pt>
                <c:pt idx="624">
                  <c:v>35796</c:v>
                </c:pt>
                <c:pt idx="625">
                  <c:v>35827</c:v>
                </c:pt>
                <c:pt idx="626">
                  <c:v>35855</c:v>
                </c:pt>
                <c:pt idx="627">
                  <c:v>35886</c:v>
                </c:pt>
                <c:pt idx="628">
                  <c:v>35916</c:v>
                </c:pt>
                <c:pt idx="629">
                  <c:v>35947</c:v>
                </c:pt>
                <c:pt idx="630">
                  <c:v>35977</c:v>
                </c:pt>
                <c:pt idx="631">
                  <c:v>36008</c:v>
                </c:pt>
                <c:pt idx="632">
                  <c:v>36039</c:v>
                </c:pt>
                <c:pt idx="633">
                  <c:v>36069</c:v>
                </c:pt>
                <c:pt idx="634">
                  <c:v>36100</c:v>
                </c:pt>
                <c:pt idx="635">
                  <c:v>36130</c:v>
                </c:pt>
                <c:pt idx="636">
                  <c:v>36161</c:v>
                </c:pt>
                <c:pt idx="637">
                  <c:v>36192</c:v>
                </c:pt>
                <c:pt idx="638">
                  <c:v>36220</c:v>
                </c:pt>
                <c:pt idx="639">
                  <c:v>36251</c:v>
                </c:pt>
                <c:pt idx="640">
                  <c:v>36281</c:v>
                </c:pt>
                <c:pt idx="641">
                  <c:v>36312</c:v>
                </c:pt>
                <c:pt idx="642">
                  <c:v>36342</c:v>
                </c:pt>
                <c:pt idx="643">
                  <c:v>36373</c:v>
                </c:pt>
                <c:pt idx="644">
                  <c:v>36404</c:v>
                </c:pt>
                <c:pt idx="645">
                  <c:v>36434</c:v>
                </c:pt>
                <c:pt idx="646">
                  <c:v>36465</c:v>
                </c:pt>
                <c:pt idx="647">
                  <c:v>36495</c:v>
                </c:pt>
                <c:pt idx="648">
                  <c:v>36526</c:v>
                </c:pt>
                <c:pt idx="649">
                  <c:v>36557</c:v>
                </c:pt>
                <c:pt idx="650">
                  <c:v>36586</c:v>
                </c:pt>
                <c:pt idx="651">
                  <c:v>36617</c:v>
                </c:pt>
                <c:pt idx="652">
                  <c:v>36647</c:v>
                </c:pt>
                <c:pt idx="653">
                  <c:v>36678</c:v>
                </c:pt>
                <c:pt idx="654">
                  <c:v>36708</c:v>
                </c:pt>
                <c:pt idx="655">
                  <c:v>36739</c:v>
                </c:pt>
                <c:pt idx="656">
                  <c:v>36770</c:v>
                </c:pt>
                <c:pt idx="657">
                  <c:v>36800</c:v>
                </c:pt>
                <c:pt idx="658">
                  <c:v>36831</c:v>
                </c:pt>
                <c:pt idx="659">
                  <c:v>36861</c:v>
                </c:pt>
                <c:pt idx="660">
                  <c:v>36892</c:v>
                </c:pt>
                <c:pt idx="661">
                  <c:v>36923</c:v>
                </c:pt>
                <c:pt idx="662">
                  <c:v>36951</c:v>
                </c:pt>
                <c:pt idx="663">
                  <c:v>36982</c:v>
                </c:pt>
                <c:pt idx="664">
                  <c:v>37012</c:v>
                </c:pt>
                <c:pt idx="665">
                  <c:v>37043</c:v>
                </c:pt>
                <c:pt idx="666">
                  <c:v>37073</c:v>
                </c:pt>
                <c:pt idx="667">
                  <c:v>37104</c:v>
                </c:pt>
                <c:pt idx="668">
                  <c:v>37135</c:v>
                </c:pt>
                <c:pt idx="669">
                  <c:v>37165</c:v>
                </c:pt>
                <c:pt idx="670">
                  <c:v>37196</c:v>
                </c:pt>
                <c:pt idx="671">
                  <c:v>37226</c:v>
                </c:pt>
                <c:pt idx="672">
                  <c:v>37257</c:v>
                </c:pt>
                <c:pt idx="673">
                  <c:v>37288</c:v>
                </c:pt>
                <c:pt idx="674">
                  <c:v>37316</c:v>
                </c:pt>
                <c:pt idx="675">
                  <c:v>37347</c:v>
                </c:pt>
                <c:pt idx="676">
                  <c:v>37377</c:v>
                </c:pt>
                <c:pt idx="677">
                  <c:v>37408</c:v>
                </c:pt>
                <c:pt idx="678">
                  <c:v>37438</c:v>
                </c:pt>
                <c:pt idx="679">
                  <c:v>37469</c:v>
                </c:pt>
                <c:pt idx="680">
                  <c:v>37500</c:v>
                </c:pt>
                <c:pt idx="681">
                  <c:v>37530</c:v>
                </c:pt>
                <c:pt idx="682">
                  <c:v>37561</c:v>
                </c:pt>
                <c:pt idx="683">
                  <c:v>37591</c:v>
                </c:pt>
                <c:pt idx="684">
                  <c:v>37622</c:v>
                </c:pt>
                <c:pt idx="685">
                  <c:v>37653</c:v>
                </c:pt>
                <c:pt idx="686">
                  <c:v>37681</c:v>
                </c:pt>
                <c:pt idx="687">
                  <c:v>37712</c:v>
                </c:pt>
                <c:pt idx="688">
                  <c:v>37742</c:v>
                </c:pt>
                <c:pt idx="689">
                  <c:v>37773</c:v>
                </c:pt>
                <c:pt idx="690">
                  <c:v>37803</c:v>
                </c:pt>
                <c:pt idx="691">
                  <c:v>37834</c:v>
                </c:pt>
                <c:pt idx="692">
                  <c:v>37865</c:v>
                </c:pt>
                <c:pt idx="693">
                  <c:v>37895</c:v>
                </c:pt>
                <c:pt idx="694">
                  <c:v>37926</c:v>
                </c:pt>
                <c:pt idx="695">
                  <c:v>37956</c:v>
                </c:pt>
                <c:pt idx="696">
                  <c:v>37987</c:v>
                </c:pt>
                <c:pt idx="697">
                  <c:v>38018</c:v>
                </c:pt>
                <c:pt idx="698">
                  <c:v>38047</c:v>
                </c:pt>
                <c:pt idx="699">
                  <c:v>38078</c:v>
                </c:pt>
                <c:pt idx="700">
                  <c:v>38108</c:v>
                </c:pt>
                <c:pt idx="701">
                  <c:v>38139</c:v>
                </c:pt>
                <c:pt idx="702">
                  <c:v>38169</c:v>
                </c:pt>
                <c:pt idx="703">
                  <c:v>38200</c:v>
                </c:pt>
                <c:pt idx="704">
                  <c:v>38231</c:v>
                </c:pt>
                <c:pt idx="705">
                  <c:v>38261</c:v>
                </c:pt>
                <c:pt idx="706">
                  <c:v>38292</c:v>
                </c:pt>
                <c:pt idx="707">
                  <c:v>38322</c:v>
                </c:pt>
                <c:pt idx="708">
                  <c:v>38353</c:v>
                </c:pt>
                <c:pt idx="709">
                  <c:v>38384</c:v>
                </c:pt>
                <c:pt idx="710">
                  <c:v>38412</c:v>
                </c:pt>
                <c:pt idx="711">
                  <c:v>38443</c:v>
                </c:pt>
                <c:pt idx="712">
                  <c:v>38473</c:v>
                </c:pt>
                <c:pt idx="713">
                  <c:v>38504</c:v>
                </c:pt>
                <c:pt idx="714">
                  <c:v>38534</c:v>
                </c:pt>
                <c:pt idx="715">
                  <c:v>38565</c:v>
                </c:pt>
                <c:pt idx="716">
                  <c:v>38596</c:v>
                </c:pt>
                <c:pt idx="717">
                  <c:v>38626</c:v>
                </c:pt>
                <c:pt idx="718">
                  <c:v>38657</c:v>
                </c:pt>
                <c:pt idx="719">
                  <c:v>38687</c:v>
                </c:pt>
                <c:pt idx="720">
                  <c:v>38718</c:v>
                </c:pt>
                <c:pt idx="721">
                  <c:v>38749</c:v>
                </c:pt>
                <c:pt idx="722">
                  <c:v>38777</c:v>
                </c:pt>
                <c:pt idx="723">
                  <c:v>38808</c:v>
                </c:pt>
                <c:pt idx="724">
                  <c:v>38838</c:v>
                </c:pt>
                <c:pt idx="725">
                  <c:v>38869</c:v>
                </c:pt>
                <c:pt idx="726">
                  <c:v>38899</c:v>
                </c:pt>
                <c:pt idx="727">
                  <c:v>38930</c:v>
                </c:pt>
                <c:pt idx="728">
                  <c:v>38961</c:v>
                </c:pt>
                <c:pt idx="729">
                  <c:v>38991</c:v>
                </c:pt>
                <c:pt idx="730">
                  <c:v>39022</c:v>
                </c:pt>
                <c:pt idx="731">
                  <c:v>39052</c:v>
                </c:pt>
                <c:pt idx="732">
                  <c:v>39083</c:v>
                </c:pt>
                <c:pt idx="733">
                  <c:v>39114</c:v>
                </c:pt>
                <c:pt idx="734">
                  <c:v>39142</c:v>
                </c:pt>
                <c:pt idx="735">
                  <c:v>39173</c:v>
                </c:pt>
                <c:pt idx="736">
                  <c:v>39203</c:v>
                </c:pt>
                <c:pt idx="737">
                  <c:v>39234</c:v>
                </c:pt>
                <c:pt idx="738">
                  <c:v>39264</c:v>
                </c:pt>
                <c:pt idx="739">
                  <c:v>39295</c:v>
                </c:pt>
                <c:pt idx="740">
                  <c:v>39326</c:v>
                </c:pt>
                <c:pt idx="741">
                  <c:v>39356</c:v>
                </c:pt>
                <c:pt idx="742">
                  <c:v>39387</c:v>
                </c:pt>
                <c:pt idx="743">
                  <c:v>39417</c:v>
                </c:pt>
                <c:pt idx="744">
                  <c:v>39448</c:v>
                </c:pt>
                <c:pt idx="745">
                  <c:v>39479</c:v>
                </c:pt>
                <c:pt idx="746">
                  <c:v>39508</c:v>
                </c:pt>
                <c:pt idx="747">
                  <c:v>39539</c:v>
                </c:pt>
                <c:pt idx="748">
                  <c:v>39569</c:v>
                </c:pt>
                <c:pt idx="749">
                  <c:v>39600</c:v>
                </c:pt>
                <c:pt idx="750">
                  <c:v>39630</c:v>
                </c:pt>
                <c:pt idx="751">
                  <c:v>39661</c:v>
                </c:pt>
                <c:pt idx="752">
                  <c:v>39692</c:v>
                </c:pt>
                <c:pt idx="753">
                  <c:v>39722</c:v>
                </c:pt>
                <c:pt idx="754">
                  <c:v>39753</c:v>
                </c:pt>
                <c:pt idx="755">
                  <c:v>39783</c:v>
                </c:pt>
                <c:pt idx="756">
                  <c:v>39814</c:v>
                </c:pt>
                <c:pt idx="757">
                  <c:v>39845</c:v>
                </c:pt>
                <c:pt idx="758">
                  <c:v>39873</c:v>
                </c:pt>
                <c:pt idx="759">
                  <c:v>39904</c:v>
                </c:pt>
                <c:pt idx="760">
                  <c:v>39934</c:v>
                </c:pt>
                <c:pt idx="761">
                  <c:v>39965</c:v>
                </c:pt>
                <c:pt idx="762">
                  <c:v>39995</c:v>
                </c:pt>
                <c:pt idx="763">
                  <c:v>40026</c:v>
                </c:pt>
                <c:pt idx="764">
                  <c:v>40057</c:v>
                </c:pt>
                <c:pt idx="765">
                  <c:v>40087</c:v>
                </c:pt>
                <c:pt idx="766">
                  <c:v>40118</c:v>
                </c:pt>
                <c:pt idx="767">
                  <c:v>40148</c:v>
                </c:pt>
                <c:pt idx="768">
                  <c:v>40179</c:v>
                </c:pt>
                <c:pt idx="769">
                  <c:v>40210</c:v>
                </c:pt>
                <c:pt idx="770">
                  <c:v>40238</c:v>
                </c:pt>
                <c:pt idx="771">
                  <c:v>40269</c:v>
                </c:pt>
                <c:pt idx="772">
                  <c:v>40299</c:v>
                </c:pt>
                <c:pt idx="773">
                  <c:v>40330</c:v>
                </c:pt>
                <c:pt idx="774">
                  <c:v>40360</c:v>
                </c:pt>
                <c:pt idx="775">
                  <c:v>40391</c:v>
                </c:pt>
                <c:pt idx="776">
                  <c:v>40422</c:v>
                </c:pt>
                <c:pt idx="777">
                  <c:v>40452</c:v>
                </c:pt>
                <c:pt idx="778">
                  <c:v>40483</c:v>
                </c:pt>
                <c:pt idx="779">
                  <c:v>40513</c:v>
                </c:pt>
                <c:pt idx="780">
                  <c:v>40544</c:v>
                </c:pt>
                <c:pt idx="781">
                  <c:v>40575</c:v>
                </c:pt>
                <c:pt idx="782">
                  <c:v>40603</c:v>
                </c:pt>
                <c:pt idx="783">
                  <c:v>40634</c:v>
                </c:pt>
                <c:pt idx="784">
                  <c:v>40664</c:v>
                </c:pt>
                <c:pt idx="785">
                  <c:v>40695</c:v>
                </c:pt>
                <c:pt idx="786">
                  <c:v>40725</c:v>
                </c:pt>
                <c:pt idx="787">
                  <c:v>40756</c:v>
                </c:pt>
                <c:pt idx="788">
                  <c:v>40787</c:v>
                </c:pt>
                <c:pt idx="789">
                  <c:v>40817</c:v>
                </c:pt>
                <c:pt idx="790">
                  <c:v>40848</c:v>
                </c:pt>
                <c:pt idx="791">
                  <c:v>40878</c:v>
                </c:pt>
                <c:pt idx="792">
                  <c:v>40909</c:v>
                </c:pt>
                <c:pt idx="793">
                  <c:v>40940</c:v>
                </c:pt>
                <c:pt idx="794">
                  <c:v>40969</c:v>
                </c:pt>
                <c:pt idx="795">
                  <c:v>41000</c:v>
                </c:pt>
                <c:pt idx="796">
                  <c:v>41030</c:v>
                </c:pt>
                <c:pt idx="797">
                  <c:v>41061</c:v>
                </c:pt>
                <c:pt idx="798">
                  <c:v>41091</c:v>
                </c:pt>
                <c:pt idx="799">
                  <c:v>41122</c:v>
                </c:pt>
                <c:pt idx="800">
                  <c:v>41153</c:v>
                </c:pt>
                <c:pt idx="801">
                  <c:v>41183</c:v>
                </c:pt>
                <c:pt idx="802">
                  <c:v>41214</c:v>
                </c:pt>
                <c:pt idx="803">
                  <c:v>41244</c:v>
                </c:pt>
                <c:pt idx="804">
                  <c:v>41275</c:v>
                </c:pt>
                <c:pt idx="805">
                  <c:v>41306</c:v>
                </c:pt>
                <c:pt idx="806">
                  <c:v>41334</c:v>
                </c:pt>
                <c:pt idx="807">
                  <c:v>41365</c:v>
                </c:pt>
                <c:pt idx="808">
                  <c:v>41395</c:v>
                </c:pt>
                <c:pt idx="809">
                  <c:v>41426</c:v>
                </c:pt>
                <c:pt idx="810">
                  <c:v>41456</c:v>
                </c:pt>
                <c:pt idx="811">
                  <c:v>41487</c:v>
                </c:pt>
                <c:pt idx="812">
                  <c:v>41518</c:v>
                </c:pt>
                <c:pt idx="813">
                  <c:v>41548</c:v>
                </c:pt>
                <c:pt idx="814">
                  <c:v>41579</c:v>
                </c:pt>
                <c:pt idx="815">
                  <c:v>41609</c:v>
                </c:pt>
                <c:pt idx="816">
                  <c:v>41640</c:v>
                </c:pt>
                <c:pt idx="817">
                  <c:v>41671</c:v>
                </c:pt>
                <c:pt idx="818">
                  <c:v>41699</c:v>
                </c:pt>
                <c:pt idx="819">
                  <c:v>41730</c:v>
                </c:pt>
                <c:pt idx="820">
                  <c:v>41760</c:v>
                </c:pt>
                <c:pt idx="821">
                  <c:v>41791</c:v>
                </c:pt>
                <c:pt idx="822">
                  <c:v>41821</c:v>
                </c:pt>
                <c:pt idx="823">
                  <c:v>41852</c:v>
                </c:pt>
                <c:pt idx="824">
                  <c:v>41883</c:v>
                </c:pt>
                <c:pt idx="825">
                  <c:v>41913</c:v>
                </c:pt>
                <c:pt idx="826">
                  <c:v>41944</c:v>
                </c:pt>
                <c:pt idx="827">
                  <c:v>41974</c:v>
                </c:pt>
                <c:pt idx="828">
                  <c:v>42005</c:v>
                </c:pt>
                <c:pt idx="829">
                  <c:v>42036</c:v>
                </c:pt>
                <c:pt idx="830">
                  <c:v>42064</c:v>
                </c:pt>
                <c:pt idx="831">
                  <c:v>42095</c:v>
                </c:pt>
                <c:pt idx="832">
                  <c:v>42125</c:v>
                </c:pt>
                <c:pt idx="833">
                  <c:v>42156</c:v>
                </c:pt>
                <c:pt idx="834">
                  <c:v>42186</c:v>
                </c:pt>
                <c:pt idx="835">
                  <c:v>42217</c:v>
                </c:pt>
                <c:pt idx="836">
                  <c:v>42248</c:v>
                </c:pt>
                <c:pt idx="837">
                  <c:v>42278</c:v>
                </c:pt>
                <c:pt idx="838">
                  <c:v>42309</c:v>
                </c:pt>
                <c:pt idx="839">
                  <c:v>42339</c:v>
                </c:pt>
                <c:pt idx="840">
                  <c:v>42370</c:v>
                </c:pt>
                <c:pt idx="841">
                  <c:v>42401</c:v>
                </c:pt>
                <c:pt idx="842">
                  <c:v>42430</c:v>
                </c:pt>
                <c:pt idx="843">
                  <c:v>42461</c:v>
                </c:pt>
                <c:pt idx="844">
                  <c:v>42491</c:v>
                </c:pt>
                <c:pt idx="845">
                  <c:v>42522</c:v>
                </c:pt>
                <c:pt idx="846">
                  <c:v>42552</c:v>
                </c:pt>
                <c:pt idx="847">
                  <c:v>42583</c:v>
                </c:pt>
                <c:pt idx="848">
                  <c:v>42614</c:v>
                </c:pt>
                <c:pt idx="849">
                  <c:v>42644</c:v>
                </c:pt>
                <c:pt idx="850">
                  <c:v>42675</c:v>
                </c:pt>
                <c:pt idx="851">
                  <c:v>42705</c:v>
                </c:pt>
                <c:pt idx="852">
                  <c:v>42736</c:v>
                </c:pt>
                <c:pt idx="853">
                  <c:v>42767</c:v>
                </c:pt>
                <c:pt idx="854">
                  <c:v>42795</c:v>
                </c:pt>
                <c:pt idx="855">
                  <c:v>42826</c:v>
                </c:pt>
                <c:pt idx="856">
                  <c:v>42856</c:v>
                </c:pt>
                <c:pt idx="857">
                  <c:v>42887</c:v>
                </c:pt>
                <c:pt idx="858">
                  <c:v>42917</c:v>
                </c:pt>
                <c:pt idx="859">
                  <c:v>42948</c:v>
                </c:pt>
                <c:pt idx="860">
                  <c:v>42979</c:v>
                </c:pt>
                <c:pt idx="861">
                  <c:v>43009</c:v>
                </c:pt>
                <c:pt idx="862">
                  <c:v>43040</c:v>
                </c:pt>
                <c:pt idx="863">
                  <c:v>43070</c:v>
                </c:pt>
                <c:pt idx="864">
                  <c:v>43101</c:v>
                </c:pt>
                <c:pt idx="865">
                  <c:v>43132</c:v>
                </c:pt>
                <c:pt idx="866">
                  <c:v>43160</c:v>
                </c:pt>
                <c:pt idx="867">
                  <c:v>43191</c:v>
                </c:pt>
                <c:pt idx="868">
                  <c:v>43221</c:v>
                </c:pt>
                <c:pt idx="869">
                  <c:v>43252</c:v>
                </c:pt>
                <c:pt idx="870">
                  <c:v>43282</c:v>
                </c:pt>
                <c:pt idx="871">
                  <c:v>43313</c:v>
                </c:pt>
                <c:pt idx="872">
                  <c:v>43344</c:v>
                </c:pt>
                <c:pt idx="873">
                  <c:v>43374</c:v>
                </c:pt>
                <c:pt idx="874">
                  <c:v>43405</c:v>
                </c:pt>
                <c:pt idx="875">
                  <c:v>43435</c:v>
                </c:pt>
                <c:pt idx="876">
                  <c:v>43466</c:v>
                </c:pt>
                <c:pt idx="877">
                  <c:v>43497</c:v>
                </c:pt>
                <c:pt idx="878">
                  <c:v>43525</c:v>
                </c:pt>
                <c:pt idx="879">
                  <c:v>43556</c:v>
                </c:pt>
                <c:pt idx="880">
                  <c:v>43586</c:v>
                </c:pt>
                <c:pt idx="881">
                  <c:v>43617</c:v>
                </c:pt>
                <c:pt idx="882">
                  <c:v>43647</c:v>
                </c:pt>
                <c:pt idx="883">
                  <c:v>43678</c:v>
                </c:pt>
                <c:pt idx="884">
                  <c:v>43709</c:v>
                </c:pt>
                <c:pt idx="885">
                  <c:v>43739</c:v>
                </c:pt>
                <c:pt idx="886">
                  <c:v>43770</c:v>
                </c:pt>
                <c:pt idx="887">
                  <c:v>43800</c:v>
                </c:pt>
                <c:pt idx="888">
                  <c:v>43831</c:v>
                </c:pt>
                <c:pt idx="889">
                  <c:v>43862</c:v>
                </c:pt>
                <c:pt idx="890">
                  <c:v>43891</c:v>
                </c:pt>
                <c:pt idx="891">
                  <c:v>43922</c:v>
                </c:pt>
                <c:pt idx="892">
                  <c:v>43952</c:v>
                </c:pt>
                <c:pt idx="893">
                  <c:v>43983</c:v>
                </c:pt>
                <c:pt idx="894">
                  <c:v>44013</c:v>
                </c:pt>
                <c:pt idx="895">
                  <c:v>44044</c:v>
                </c:pt>
                <c:pt idx="896">
                  <c:v>44075</c:v>
                </c:pt>
                <c:pt idx="897">
                  <c:v>44105</c:v>
                </c:pt>
                <c:pt idx="898">
                  <c:v>44136</c:v>
                </c:pt>
                <c:pt idx="899">
                  <c:v>44166</c:v>
                </c:pt>
                <c:pt idx="900">
                  <c:v>44197</c:v>
                </c:pt>
                <c:pt idx="901">
                  <c:v>44228</c:v>
                </c:pt>
                <c:pt idx="902">
                  <c:v>44256</c:v>
                </c:pt>
                <c:pt idx="903">
                  <c:v>44287</c:v>
                </c:pt>
                <c:pt idx="904">
                  <c:v>44317</c:v>
                </c:pt>
                <c:pt idx="905">
                  <c:v>44348</c:v>
                </c:pt>
                <c:pt idx="906">
                  <c:v>44378</c:v>
                </c:pt>
                <c:pt idx="907">
                  <c:v>44409</c:v>
                </c:pt>
                <c:pt idx="908">
                  <c:v>44440</c:v>
                </c:pt>
                <c:pt idx="909">
                  <c:v>44470</c:v>
                </c:pt>
                <c:pt idx="910">
                  <c:v>44501</c:v>
                </c:pt>
                <c:pt idx="911">
                  <c:v>44531</c:v>
                </c:pt>
                <c:pt idx="912">
                  <c:v>44562</c:v>
                </c:pt>
                <c:pt idx="913">
                  <c:v>44593</c:v>
                </c:pt>
                <c:pt idx="914">
                  <c:v>44621</c:v>
                </c:pt>
                <c:pt idx="915">
                  <c:v>44652</c:v>
                </c:pt>
                <c:pt idx="916">
                  <c:v>44682</c:v>
                </c:pt>
                <c:pt idx="917">
                  <c:v>44713</c:v>
                </c:pt>
                <c:pt idx="918">
                  <c:v>44743</c:v>
                </c:pt>
                <c:pt idx="919">
                  <c:v>44774</c:v>
                </c:pt>
                <c:pt idx="920">
                  <c:v>44805</c:v>
                </c:pt>
                <c:pt idx="921">
                  <c:v>44835</c:v>
                </c:pt>
                <c:pt idx="922">
                  <c:v>44866</c:v>
                </c:pt>
                <c:pt idx="923">
                  <c:v>44896</c:v>
                </c:pt>
                <c:pt idx="924">
                  <c:v>44927</c:v>
                </c:pt>
                <c:pt idx="925">
                  <c:v>44958</c:v>
                </c:pt>
                <c:pt idx="926">
                  <c:v>44986</c:v>
                </c:pt>
                <c:pt idx="927">
                  <c:v>45017</c:v>
                </c:pt>
                <c:pt idx="928">
                  <c:v>45047</c:v>
                </c:pt>
                <c:pt idx="929">
                  <c:v>45078</c:v>
                </c:pt>
                <c:pt idx="930">
                  <c:v>45108</c:v>
                </c:pt>
                <c:pt idx="931">
                  <c:v>45139</c:v>
                </c:pt>
                <c:pt idx="932">
                  <c:v>45170</c:v>
                </c:pt>
                <c:pt idx="933">
                  <c:v>45200</c:v>
                </c:pt>
                <c:pt idx="934">
                  <c:v>45231</c:v>
                </c:pt>
                <c:pt idx="935">
                  <c:v>45261</c:v>
                </c:pt>
                <c:pt idx="936">
                  <c:v>45292</c:v>
                </c:pt>
                <c:pt idx="937">
                  <c:v>45323</c:v>
                </c:pt>
                <c:pt idx="938">
                  <c:v>45352</c:v>
                </c:pt>
                <c:pt idx="939">
                  <c:v>45383</c:v>
                </c:pt>
                <c:pt idx="940">
                  <c:v>45413</c:v>
                </c:pt>
                <c:pt idx="941">
                  <c:v>45444</c:v>
                </c:pt>
                <c:pt idx="942">
                  <c:v>45474</c:v>
                </c:pt>
                <c:pt idx="943">
                  <c:v>45505</c:v>
                </c:pt>
                <c:pt idx="944">
                  <c:v>45536</c:v>
                </c:pt>
                <c:pt idx="945">
                  <c:v>45566</c:v>
                </c:pt>
                <c:pt idx="946">
                  <c:v>45597</c:v>
                </c:pt>
                <c:pt idx="947">
                  <c:v>45627</c:v>
                </c:pt>
                <c:pt idx="948">
                  <c:v>45658</c:v>
                </c:pt>
                <c:pt idx="949">
                  <c:v>45689</c:v>
                </c:pt>
                <c:pt idx="950">
                  <c:v>45717</c:v>
                </c:pt>
                <c:pt idx="951">
                  <c:v>45748</c:v>
                </c:pt>
                <c:pt idx="952">
                  <c:v>45778</c:v>
                </c:pt>
                <c:pt idx="953">
                  <c:v>45809</c:v>
                </c:pt>
                <c:pt idx="954">
                  <c:v>45839</c:v>
                </c:pt>
                <c:pt idx="955">
                  <c:v>45870</c:v>
                </c:pt>
                <c:pt idx="956">
                  <c:v>45901</c:v>
                </c:pt>
                <c:pt idx="957">
                  <c:v>45931</c:v>
                </c:pt>
                <c:pt idx="958">
                  <c:v>45962</c:v>
                </c:pt>
                <c:pt idx="959">
                  <c:v>45992</c:v>
                </c:pt>
                <c:pt idx="960">
                  <c:v>46023</c:v>
                </c:pt>
                <c:pt idx="961">
                  <c:v>46054</c:v>
                </c:pt>
                <c:pt idx="962">
                  <c:v>46082</c:v>
                </c:pt>
                <c:pt idx="963">
                  <c:v>46113</c:v>
                </c:pt>
                <c:pt idx="964">
                  <c:v>46143</c:v>
                </c:pt>
                <c:pt idx="965">
                  <c:v>46174</c:v>
                </c:pt>
                <c:pt idx="966">
                  <c:v>46204</c:v>
                </c:pt>
                <c:pt idx="967">
                  <c:v>46235</c:v>
                </c:pt>
                <c:pt idx="968">
                  <c:v>46266</c:v>
                </c:pt>
                <c:pt idx="969">
                  <c:v>46296</c:v>
                </c:pt>
                <c:pt idx="970">
                  <c:v>46327</c:v>
                </c:pt>
                <c:pt idx="971">
                  <c:v>46357</c:v>
                </c:pt>
                <c:pt idx="972">
                  <c:v>46388</c:v>
                </c:pt>
                <c:pt idx="973">
                  <c:v>46419</c:v>
                </c:pt>
                <c:pt idx="974">
                  <c:v>46447</c:v>
                </c:pt>
                <c:pt idx="975">
                  <c:v>46478</c:v>
                </c:pt>
                <c:pt idx="976">
                  <c:v>46508</c:v>
                </c:pt>
                <c:pt idx="977">
                  <c:v>46539</c:v>
                </c:pt>
                <c:pt idx="978">
                  <c:v>46569</c:v>
                </c:pt>
                <c:pt idx="979">
                  <c:v>46600</c:v>
                </c:pt>
                <c:pt idx="980">
                  <c:v>46631</c:v>
                </c:pt>
                <c:pt idx="981">
                  <c:v>46661</c:v>
                </c:pt>
                <c:pt idx="982">
                  <c:v>46692</c:v>
                </c:pt>
                <c:pt idx="983">
                  <c:v>46722</c:v>
                </c:pt>
                <c:pt idx="984">
                  <c:v>46753</c:v>
                </c:pt>
                <c:pt idx="985">
                  <c:v>46784</c:v>
                </c:pt>
                <c:pt idx="986">
                  <c:v>46813</c:v>
                </c:pt>
                <c:pt idx="987">
                  <c:v>46844</c:v>
                </c:pt>
                <c:pt idx="988">
                  <c:v>46874</c:v>
                </c:pt>
                <c:pt idx="989">
                  <c:v>46905</c:v>
                </c:pt>
                <c:pt idx="990">
                  <c:v>46935</c:v>
                </c:pt>
                <c:pt idx="991">
                  <c:v>46966</c:v>
                </c:pt>
                <c:pt idx="992">
                  <c:v>46997</c:v>
                </c:pt>
                <c:pt idx="993">
                  <c:v>47027</c:v>
                </c:pt>
                <c:pt idx="994">
                  <c:v>47058</c:v>
                </c:pt>
                <c:pt idx="995">
                  <c:v>47088</c:v>
                </c:pt>
                <c:pt idx="996">
                  <c:v>47119</c:v>
                </c:pt>
                <c:pt idx="997">
                  <c:v>47150</c:v>
                </c:pt>
                <c:pt idx="998">
                  <c:v>47178</c:v>
                </c:pt>
                <c:pt idx="999">
                  <c:v>47209</c:v>
                </c:pt>
                <c:pt idx="1000">
                  <c:v>47239</c:v>
                </c:pt>
                <c:pt idx="1001">
                  <c:v>47270</c:v>
                </c:pt>
                <c:pt idx="1002">
                  <c:v>47300</c:v>
                </c:pt>
                <c:pt idx="1003">
                  <c:v>47331</c:v>
                </c:pt>
                <c:pt idx="1004">
                  <c:v>47362</c:v>
                </c:pt>
                <c:pt idx="1005">
                  <c:v>47392</c:v>
                </c:pt>
                <c:pt idx="1006">
                  <c:v>47423</c:v>
                </c:pt>
                <c:pt idx="1007">
                  <c:v>47453</c:v>
                </c:pt>
                <c:pt idx="1008">
                  <c:v>47484</c:v>
                </c:pt>
                <c:pt idx="1009">
                  <c:v>47515</c:v>
                </c:pt>
                <c:pt idx="1010">
                  <c:v>47543</c:v>
                </c:pt>
                <c:pt idx="1011">
                  <c:v>47574</c:v>
                </c:pt>
                <c:pt idx="1012">
                  <c:v>47604</c:v>
                </c:pt>
                <c:pt idx="1013">
                  <c:v>47635</c:v>
                </c:pt>
                <c:pt idx="1014">
                  <c:v>47665</c:v>
                </c:pt>
                <c:pt idx="1015">
                  <c:v>47696</c:v>
                </c:pt>
                <c:pt idx="1016">
                  <c:v>47727</c:v>
                </c:pt>
                <c:pt idx="1017">
                  <c:v>47757</c:v>
                </c:pt>
                <c:pt idx="1018">
                  <c:v>47788</c:v>
                </c:pt>
                <c:pt idx="1019">
                  <c:v>47818</c:v>
                </c:pt>
                <c:pt idx="1020">
                  <c:v>47849</c:v>
                </c:pt>
                <c:pt idx="1021">
                  <c:v>47880</c:v>
                </c:pt>
                <c:pt idx="1022">
                  <c:v>47908</c:v>
                </c:pt>
                <c:pt idx="1023">
                  <c:v>47939</c:v>
                </c:pt>
                <c:pt idx="1024">
                  <c:v>47969</c:v>
                </c:pt>
                <c:pt idx="1025">
                  <c:v>48000</c:v>
                </c:pt>
                <c:pt idx="1026">
                  <c:v>48030</c:v>
                </c:pt>
                <c:pt idx="1027">
                  <c:v>48061</c:v>
                </c:pt>
                <c:pt idx="1028">
                  <c:v>48092</c:v>
                </c:pt>
                <c:pt idx="1029">
                  <c:v>48122</c:v>
                </c:pt>
                <c:pt idx="1030">
                  <c:v>48153</c:v>
                </c:pt>
                <c:pt idx="1031">
                  <c:v>48183</c:v>
                </c:pt>
                <c:pt idx="1032">
                  <c:v>48214</c:v>
                </c:pt>
                <c:pt idx="1033">
                  <c:v>48245</c:v>
                </c:pt>
                <c:pt idx="1034">
                  <c:v>48274</c:v>
                </c:pt>
                <c:pt idx="1035">
                  <c:v>48305</c:v>
                </c:pt>
                <c:pt idx="1036">
                  <c:v>48335</c:v>
                </c:pt>
                <c:pt idx="1037">
                  <c:v>48366</c:v>
                </c:pt>
                <c:pt idx="1038">
                  <c:v>48396</c:v>
                </c:pt>
                <c:pt idx="1039">
                  <c:v>48427</c:v>
                </c:pt>
                <c:pt idx="1040">
                  <c:v>48458</c:v>
                </c:pt>
                <c:pt idx="1041">
                  <c:v>48488</c:v>
                </c:pt>
                <c:pt idx="1042">
                  <c:v>48519</c:v>
                </c:pt>
                <c:pt idx="1043">
                  <c:v>48549</c:v>
                </c:pt>
                <c:pt idx="1044">
                  <c:v>48580</c:v>
                </c:pt>
                <c:pt idx="1045">
                  <c:v>48611</c:v>
                </c:pt>
                <c:pt idx="1046">
                  <c:v>48639</c:v>
                </c:pt>
                <c:pt idx="1047">
                  <c:v>48670</c:v>
                </c:pt>
                <c:pt idx="1048">
                  <c:v>48700</c:v>
                </c:pt>
                <c:pt idx="1049">
                  <c:v>48731</c:v>
                </c:pt>
                <c:pt idx="1050">
                  <c:v>48761</c:v>
                </c:pt>
                <c:pt idx="1051">
                  <c:v>48792</c:v>
                </c:pt>
                <c:pt idx="1052">
                  <c:v>48823</c:v>
                </c:pt>
                <c:pt idx="1053">
                  <c:v>48853</c:v>
                </c:pt>
                <c:pt idx="1054">
                  <c:v>48884</c:v>
                </c:pt>
                <c:pt idx="1055">
                  <c:v>48914</c:v>
                </c:pt>
                <c:pt idx="1056">
                  <c:v>48945</c:v>
                </c:pt>
                <c:pt idx="1057">
                  <c:v>48976</c:v>
                </c:pt>
                <c:pt idx="1058">
                  <c:v>49004</c:v>
                </c:pt>
                <c:pt idx="1059">
                  <c:v>49035</c:v>
                </c:pt>
                <c:pt idx="1060">
                  <c:v>49065</c:v>
                </c:pt>
                <c:pt idx="1061">
                  <c:v>49096</c:v>
                </c:pt>
                <c:pt idx="1062">
                  <c:v>49126</c:v>
                </c:pt>
                <c:pt idx="1063">
                  <c:v>49157</c:v>
                </c:pt>
                <c:pt idx="1064">
                  <c:v>49188</c:v>
                </c:pt>
                <c:pt idx="1065">
                  <c:v>49218</c:v>
                </c:pt>
                <c:pt idx="1066">
                  <c:v>49249</c:v>
                </c:pt>
                <c:pt idx="1067">
                  <c:v>49279</c:v>
                </c:pt>
                <c:pt idx="1068">
                  <c:v>49310</c:v>
                </c:pt>
                <c:pt idx="1069">
                  <c:v>49341</c:v>
                </c:pt>
                <c:pt idx="1070">
                  <c:v>49369</c:v>
                </c:pt>
                <c:pt idx="1071">
                  <c:v>49400</c:v>
                </c:pt>
                <c:pt idx="1072">
                  <c:v>49430</c:v>
                </c:pt>
                <c:pt idx="1073">
                  <c:v>49461</c:v>
                </c:pt>
                <c:pt idx="1074">
                  <c:v>49491</c:v>
                </c:pt>
                <c:pt idx="1075">
                  <c:v>49522</c:v>
                </c:pt>
                <c:pt idx="1076">
                  <c:v>49553</c:v>
                </c:pt>
                <c:pt idx="1077">
                  <c:v>49583</c:v>
                </c:pt>
                <c:pt idx="1078">
                  <c:v>49614</c:v>
                </c:pt>
                <c:pt idx="1079">
                  <c:v>49644</c:v>
                </c:pt>
                <c:pt idx="1080">
                  <c:v>49675</c:v>
                </c:pt>
                <c:pt idx="1081">
                  <c:v>49706</c:v>
                </c:pt>
                <c:pt idx="1082">
                  <c:v>49735</c:v>
                </c:pt>
                <c:pt idx="1083">
                  <c:v>49766</c:v>
                </c:pt>
                <c:pt idx="1084">
                  <c:v>49796</c:v>
                </c:pt>
                <c:pt idx="1085">
                  <c:v>49827</c:v>
                </c:pt>
                <c:pt idx="1086">
                  <c:v>49857</c:v>
                </c:pt>
                <c:pt idx="1087">
                  <c:v>49888</c:v>
                </c:pt>
                <c:pt idx="1088">
                  <c:v>49919</c:v>
                </c:pt>
                <c:pt idx="1089">
                  <c:v>49949</c:v>
                </c:pt>
                <c:pt idx="1090">
                  <c:v>49980</c:v>
                </c:pt>
                <c:pt idx="1091">
                  <c:v>50010</c:v>
                </c:pt>
                <c:pt idx="1092">
                  <c:v>50041</c:v>
                </c:pt>
                <c:pt idx="1093">
                  <c:v>50072</c:v>
                </c:pt>
                <c:pt idx="1094">
                  <c:v>50100</c:v>
                </c:pt>
                <c:pt idx="1095">
                  <c:v>50131</c:v>
                </c:pt>
                <c:pt idx="1096">
                  <c:v>50161</c:v>
                </c:pt>
                <c:pt idx="1097">
                  <c:v>50192</c:v>
                </c:pt>
                <c:pt idx="1098">
                  <c:v>50222</c:v>
                </c:pt>
                <c:pt idx="1099">
                  <c:v>50253</c:v>
                </c:pt>
                <c:pt idx="1100">
                  <c:v>50284</c:v>
                </c:pt>
                <c:pt idx="1101">
                  <c:v>50314</c:v>
                </c:pt>
                <c:pt idx="1102">
                  <c:v>50345</c:v>
                </c:pt>
                <c:pt idx="1103">
                  <c:v>50375</c:v>
                </c:pt>
                <c:pt idx="1104">
                  <c:v>50406</c:v>
                </c:pt>
                <c:pt idx="1105">
                  <c:v>50437</c:v>
                </c:pt>
                <c:pt idx="1106">
                  <c:v>50465</c:v>
                </c:pt>
                <c:pt idx="1107">
                  <c:v>50496</c:v>
                </c:pt>
                <c:pt idx="1108">
                  <c:v>50526</c:v>
                </c:pt>
                <c:pt idx="1109">
                  <c:v>50557</c:v>
                </c:pt>
                <c:pt idx="1110">
                  <c:v>50587</c:v>
                </c:pt>
                <c:pt idx="1111">
                  <c:v>50618</c:v>
                </c:pt>
                <c:pt idx="1112">
                  <c:v>50649</c:v>
                </c:pt>
                <c:pt idx="1113">
                  <c:v>50679</c:v>
                </c:pt>
                <c:pt idx="1114">
                  <c:v>50710</c:v>
                </c:pt>
                <c:pt idx="1115">
                  <c:v>50740</c:v>
                </c:pt>
                <c:pt idx="1116">
                  <c:v>50771</c:v>
                </c:pt>
                <c:pt idx="1117">
                  <c:v>50802</c:v>
                </c:pt>
                <c:pt idx="1118">
                  <c:v>50830</c:v>
                </c:pt>
                <c:pt idx="1119">
                  <c:v>50861</c:v>
                </c:pt>
                <c:pt idx="1120">
                  <c:v>50891</c:v>
                </c:pt>
                <c:pt idx="1121">
                  <c:v>50922</c:v>
                </c:pt>
                <c:pt idx="1122">
                  <c:v>50952</c:v>
                </c:pt>
                <c:pt idx="1123">
                  <c:v>50983</c:v>
                </c:pt>
                <c:pt idx="1124">
                  <c:v>51014</c:v>
                </c:pt>
                <c:pt idx="1125">
                  <c:v>51044</c:v>
                </c:pt>
                <c:pt idx="1126">
                  <c:v>51075</c:v>
                </c:pt>
                <c:pt idx="1127">
                  <c:v>51105</c:v>
                </c:pt>
                <c:pt idx="1128">
                  <c:v>51136</c:v>
                </c:pt>
                <c:pt idx="1129">
                  <c:v>51167</c:v>
                </c:pt>
                <c:pt idx="1130">
                  <c:v>51196</c:v>
                </c:pt>
                <c:pt idx="1131">
                  <c:v>51227</c:v>
                </c:pt>
                <c:pt idx="1132">
                  <c:v>51257</c:v>
                </c:pt>
                <c:pt idx="1133">
                  <c:v>51288</c:v>
                </c:pt>
                <c:pt idx="1134">
                  <c:v>51318</c:v>
                </c:pt>
                <c:pt idx="1135">
                  <c:v>51349</c:v>
                </c:pt>
                <c:pt idx="1136">
                  <c:v>51380</c:v>
                </c:pt>
                <c:pt idx="1137">
                  <c:v>51410</c:v>
                </c:pt>
                <c:pt idx="1138">
                  <c:v>51441</c:v>
                </c:pt>
                <c:pt idx="1139">
                  <c:v>51471</c:v>
                </c:pt>
                <c:pt idx="1140">
                  <c:v>51502</c:v>
                </c:pt>
                <c:pt idx="1141">
                  <c:v>51533</c:v>
                </c:pt>
                <c:pt idx="1142">
                  <c:v>51561</c:v>
                </c:pt>
                <c:pt idx="1143">
                  <c:v>51592</c:v>
                </c:pt>
                <c:pt idx="1144">
                  <c:v>51622</c:v>
                </c:pt>
                <c:pt idx="1145">
                  <c:v>51653</c:v>
                </c:pt>
                <c:pt idx="1146">
                  <c:v>51683</c:v>
                </c:pt>
                <c:pt idx="1147">
                  <c:v>51714</c:v>
                </c:pt>
                <c:pt idx="1148">
                  <c:v>51745</c:v>
                </c:pt>
                <c:pt idx="1149">
                  <c:v>51775</c:v>
                </c:pt>
                <c:pt idx="1150">
                  <c:v>51806</c:v>
                </c:pt>
                <c:pt idx="1151">
                  <c:v>51836</c:v>
                </c:pt>
                <c:pt idx="1152">
                  <c:v>51867</c:v>
                </c:pt>
                <c:pt idx="1153">
                  <c:v>51898</c:v>
                </c:pt>
                <c:pt idx="1154">
                  <c:v>51926</c:v>
                </c:pt>
                <c:pt idx="1155">
                  <c:v>51957</c:v>
                </c:pt>
                <c:pt idx="1156">
                  <c:v>51987</c:v>
                </c:pt>
                <c:pt idx="1157">
                  <c:v>52018</c:v>
                </c:pt>
                <c:pt idx="1158">
                  <c:v>52048</c:v>
                </c:pt>
                <c:pt idx="1159">
                  <c:v>52079</c:v>
                </c:pt>
                <c:pt idx="1160">
                  <c:v>52110</c:v>
                </c:pt>
                <c:pt idx="1161">
                  <c:v>52140</c:v>
                </c:pt>
                <c:pt idx="1162">
                  <c:v>52171</c:v>
                </c:pt>
                <c:pt idx="1163">
                  <c:v>52201</c:v>
                </c:pt>
                <c:pt idx="1164">
                  <c:v>52232</c:v>
                </c:pt>
                <c:pt idx="1165">
                  <c:v>52263</c:v>
                </c:pt>
                <c:pt idx="1166">
                  <c:v>52291</c:v>
                </c:pt>
                <c:pt idx="1167">
                  <c:v>52322</c:v>
                </c:pt>
                <c:pt idx="1168">
                  <c:v>52352</c:v>
                </c:pt>
                <c:pt idx="1169">
                  <c:v>52383</c:v>
                </c:pt>
                <c:pt idx="1170">
                  <c:v>52413</c:v>
                </c:pt>
                <c:pt idx="1171">
                  <c:v>52444</c:v>
                </c:pt>
                <c:pt idx="1172">
                  <c:v>52475</c:v>
                </c:pt>
                <c:pt idx="1173">
                  <c:v>52505</c:v>
                </c:pt>
                <c:pt idx="1174">
                  <c:v>52536</c:v>
                </c:pt>
                <c:pt idx="1175">
                  <c:v>52566</c:v>
                </c:pt>
                <c:pt idx="1176">
                  <c:v>52597</c:v>
                </c:pt>
                <c:pt idx="1177">
                  <c:v>52628</c:v>
                </c:pt>
                <c:pt idx="1178">
                  <c:v>52657</c:v>
                </c:pt>
                <c:pt idx="1179">
                  <c:v>52688</c:v>
                </c:pt>
                <c:pt idx="1180">
                  <c:v>52718</c:v>
                </c:pt>
                <c:pt idx="1181">
                  <c:v>52749</c:v>
                </c:pt>
                <c:pt idx="1182">
                  <c:v>52779</c:v>
                </c:pt>
                <c:pt idx="1183">
                  <c:v>52810</c:v>
                </c:pt>
                <c:pt idx="1184">
                  <c:v>52841</c:v>
                </c:pt>
                <c:pt idx="1185">
                  <c:v>52871</c:v>
                </c:pt>
                <c:pt idx="1186">
                  <c:v>52902</c:v>
                </c:pt>
                <c:pt idx="1187">
                  <c:v>52932</c:v>
                </c:pt>
                <c:pt idx="1188">
                  <c:v>52963</c:v>
                </c:pt>
                <c:pt idx="1189">
                  <c:v>52994</c:v>
                </c:pt>
                <c:pt idx="1190">
                  <c:v>53022</c:v>
                </c:pt>
                <c:pt idx="1191">
                  <c:v>53053</c:v>
                </c:pt>
                <c:pt idx="1192">
                  <c:v>53083</c:v>
                </c:pt>
                <c:pt idx="1193">
                  <c:v>53114</c:v>
                </c:pt>
                <c:pt idx="1194">
                  <c:v>53144</c:v>
                </c:pt>
                <c:pt idx="1195">
                  <c:v>53175</c:v>
                </c:pt>
                <c:pt idx="1196">
                  <c:v>53206</c:v>
                </c:pt>
                <c:pt idx="1197">
                  <c:v>53236</c:v>
                </c:pt>
                <c:pt idx="1198">
                  <c:v>53267</c:v>
                </c:pt>
                <c:pt idx="1199">
                  <c:v>53297</c:v>
                </c:pt>
                <c:pt idx="1200">
                  <c:v>53328</c:v>
                </c:pt>
                <c:pt idx="1201">
                  <c:v>53359</c:v>
                </c:pt>
                <c:pt idx="1202">
                  <c:v>53387</c:v>
                </c:pt>
                <c:pt idx="1203">
                  <c:v>53418</c:v>
                </c:pt>
                <c:pt idx="1204">
                  <c:v>53448</c:v>
                </c:pt>
                <c:pt idx="1205">
                  <c:v>53479</c:v>
                </c:pt>
                <c:pt idx="1206">
                  <c:v>53509</c:v>
                </c:pt>
                <c:pt idx="1207">
                  <c:v>53540</c:v>
                </c:pt>
                <c:pt idx="1208">
                  <c:v>53571</c:v>
                </c:pt>
                <c:pt idx="1209">
                  <c:v>53601</c:v>
                </c:pt>
                <c:pt idx="1210">
                  <c:v>53632</c:v>
                </c:pt>
                <c:pt idx="1211">
                  <c:v>53662</c:v>
                </c:pt>
                <c:pt idx="1212">
                  <c:v>53693</c:v>
                </c:pt>
                <c:pt idx="1213">
                  <c:v>53724</c:v>
                </c:pt>
                <c:pt idx="1214">
                  <c:v>53752</c:v>
                </c:pt>
                <c:pt idx="1215">
                  <c:v>53783</c:v>
                </c:pt>
                <c:pt idx="1216">
                  <c:v>53813</c:v>
                </c:pt>
                <c:pt idx="1217">
                  <c:v>53844</c:v>
                </c:pt>
                <c:pt idx="1218">
                  <c:v>53874</c:v>
                </c:pt>
                <c:pt idx="1219">
                  <c:v>53905</c:v>
                </c:pt>
                <c:pt idx="1220">
                  <c:v>53936</c:v>
                </c:pt>
                <c:pt idx="1221">
                  <c:v>53966</c:v>
                </c:pt>
                <c:pt idx="1222">
                  <c:v>53997</c:v>
                </c:pt>
                <c:pt idx="1223">
                  <c:v>54027</c:v>
                </c:pt>
                <c:pt idx="1224">
                  <c:v>54058</c:v>
                </c:pt>
                <c:pt idx="1225">
                  <c:v>54089</c:v>
                </c:pt>
                <c:pt idx="1226">
                  <c:v>54118</c:v>
                </c:pt>
                <c:pt idx="1227">
                  <c:v>54149</c:v>
                </c:pt>
                <c:pt idx="1228">
                  <c:v>54179</c:v>
                </c:pt>
                <c:pt idx="1229">
                  <c:v>54210</c:v>
                </c:pt>
                <c:pt idx="1230">
                  <c:v>54240</c:v>
                </c:pt>
                <c:pt idx="1231">
                  <c:v>54271</c:v>
                </c:pt>
                <c:pt idx="1232">
                  <c:v>54302</c:v>
                </c:pt>
                <c:pt idx="1233">
                  <c:v>54332</c:v>
                </c:pt>
                <c:pt idx="1234">
                  <c:v>54363</c:v>
                </c:pt>
                <c:pt idx="1235">
                  <c:v>54393</c:v>
                </c:pt>
                <c:pt idx="1236">
                  <c:v>54424</c:v>
                </c:pt>
                <c:pt idx="1237">
                  <c:v>54455</c:v>
                </c:pt>
                <c:pt idx="1238">
                  <c:v>54483</c:v>
                </c:pt>
                <c:pt idx="1239">
                  <c:v>54514</c:v>
                </c:pt>
                <c:pt idx="1240">
                  <c:v>54544</c:v>
                </c:pt>
                <c:pt idx="1241">
                  <c:v>54575</c:v>
                </c:pt>
                <c:pt idx="1242">
                  <c:v>54605</c:v>
                </c:pt>
                <c:pt idx="1243">
                  <c:v>54636</c:v>
                </c:pt>
                <c:pt idx="1244">
                  <c:v>54667</c:v>
                </c:pt>
                <c:pt idx="1245">
                  <c:v>54697</c:v>
                </c:pt>
                <c:pt idx="1246">
                  <c:v>54728</c:v>
                </c:pt>
                <c:pt idx="1247">
                  <c:v>54758</c:v>
                </c:pt>
                <c:pt idx="1248">
                  <c:v>54789</c:v>
                </c:pt>
                <c:pt idx="1249">
                  <c:v>54820</c:v>
                </c:pt>
                <c:pt idx="1250">
                  <c:v>54848</c:v>
                </c:pt>
                <c:pt idx="1251">
                  <c:v>54879</c:v>
                </c:pt>
                <c:pt idx="1252">
                  <c:v>54909</c:v>
                </c:pt>
                <c:pt idx="1253">
                  <c:v>54940</c:v>
                </c:pt>
                <c:pt idx="1254">
                  <c:v>54970</c:v>
                </c:pt>
                <c:pt idx="1255">
                  <c:v>55001</c:v>
                </c:pt>
                <c:pt idx="1256">
                  <c:v>55032</c:v>
                </c:pt>
              </c:numCache>
            </c:numRef>
          </c:cat>
          <c:val>
            <c:numRef>
              <c:f>Forecast!$E$2:$E$1258</c:f>
              <c:numCache>
                <c:formatCode>General</c:formatCode>
                <c:ptCount val="1257"/>
                <c:pt idx="948" formatCode="0.000">
                  <c:v>75.739999999999995</c:v>
                </c:pt>
                <c:pt idx="949" formatCode="0.000">
                  <c:v>86.245647963830194</c:v>
                </c:pt>
                <c:pt idx="950" formatCode="0.000">
                  <c:v>86.741776304978529</c:v>
                </c:pt>
                <c:pt idx="951" formatCode="0.000">
                  <c:v>87.290517741852128</c:v>
                </c:pt>
                <c:pt idx="952" formatCode="0.000">
                  <c:v>87.727315916604141</c:v>
                </c:pt>
                <c:pt idx="953" formatCode="0.000">
                  <c:v>88.048440301779507</c:v>
                </c:pt>
                <c:pt idx="954" formatCode="0.000">
                  <c:v>88.447854607892964</c:v>
                </c:pt>
                <c:pt idx="955" formatCode="0.000">
                  <c:v>88.888501963781195</c:v>
                </c:pt>
                <c:pt idx="956" formatCode="0.000">
                  <c:v>89.266434291609329</c:v>
                </c:pt>
                <c:pt idx="957" formatCode="0.000">
                  <c:v>89.640292842864653</c:v>
                </c:pt>
                <c:pt idx="958" formatCode="0.000">
                  <c:v>90.027670682256144</c:v>
                </c:pt>
                <c:pt idx="959" formatCode="0.000">
                  <c:v>90.391089277468183</c:v>
                </c:pt>
                <c:pt idx="960" formatCode="0.000">
                  <c:v>90.990826231312582</c:v>
                </c:pt>
                <c:pt idx="961" formatCode="0.000">
                  <c:v>91.401949972835482</c:v>
                </c:pt>
                <c:pt idx="962" formatCode="0.000">
                  <c:v>91.832881176354846</c:v>
                </c:pt>
                <c:pt idx="963" formatCode="0.000">
                  <c:v>92.321110327933795</c:v>
                </c:pt>
                <c:pt idx="964" formatCode="0.000">
                  <c:v>92.701582862358194</c:v>
                </c:pt>
                <c:pt idx="965" formatCode="0.000">
                  <c:v>92.970141622249216</c:v>
                </c:pt>
                <c:pt idx="966" formatCode="0.000">
                  <c:v>93.320382427739332</c:v>
                </c:pt>
                <c:pt idx="967" formatCode="0.000">
                  <c:v>93.714929154047468</c:v>
                </c:pt>
                <c:pt idx="968" formatCode="0.000">
                  <c:v>94.049555069537178</c:v>
                </c:pt>
                <c:pt idx="969" formatCode="0.000">
                  <c:v>94.382656914919394</c:v>
                </c:pt>
                <c:pt idx="970" formatCode="0.000">
                  <c:v>94.731612153002231</c:v>
                </c:pt>
                <c:pt idx="971" formatCode="0.000">
                  <c:v>95.058751280297656</c:v>
                </c:pt>
                <c:pt idx="972" formatCode="0.000">
                  <c:v>95.624182035778389</c:v>
                </c:pt>
                <c:pt idx="973" formatCode="0.000">
                  <c:v>96.002490349775954</c:v>
                </c:pt>
                <c:pt idx="974" formatCode="0.000">
                  <c:v>96.402638578944106</c:v>
                </c:pt>
                <c:pt idx="975" formatCode="0.000">
                  <c:v>96.861647040248329</c:v>
                </c:pt>
                <c:pt idx="976" formatCode="0.000">
                  <c:v>97.214351008569267</c:v>
                </c:pt>
                <c:pt idx="977" formatCode="0.000">
                  <c:v>97.456493650908243</c:v>
                </c:pt>
                <c:pt idx="978" formatCode="0.000">
                  <c:v>97.781580344440187</c:v>
                </c:pt>
                <c:pt idx="979" formatCode="0.000">
                  <c:v>98.152152681139711</c:v>
                </c:pt>
                <c:pt idx="980" formatCode="0.000">
                  <c:v>98.463908882041437</c:v>
                </c:pt>
                <c:pt idx="981" formatCode="0.000">
                  <c:v>98.77517707778901</c:v>
                </c:pt>
                <c:pt idx="982" formatCode="0.000">
                  <c:v>99.103271865238327</c:v>
                </c:pt>
                <c:pt idx="983" formatCode="0.000">
                  <c:v>99.410466015274309</c:v>
                </c:pt>
                <c:pt idx="984" formatCode="0.000">
                  <c:v>99.956814153782986</c:v>
                </c:pt>
                <c:pt idx="985" formatCode="0.000">
                  <c:v>100.31664561372655</c:v>
                </c:pt>
                <c:pt idx="986" formatCode="0.000">
                  <c:v>100.69930054979454</c:v>
                </c:pt>
                <c:pt idx="987" formatCode="0.000">
                  <c:v>101.14154164100002</c:v>
                </c:pt>
                <c:pt idx="988" formatCode="0.000">
                  <c:v>101.47816541949545</c:v>
                </c:pt>
                <c:pt idx="989" formatCode="0.000">
                  <c:v>101.70487908982525</c:v>
                </c:pt>
                <c:pt idx="990" formatCode="0.000">
                  <c:v>102.01515459627339</c:v>
                </c:pt>
                <c:pt idx="991" formatCode="0.000">
                  <c:v>102.37150240389781</c:v>
                </c:pt>
                <c:pt idx="992" formatCode="0.000">
                  <c:v>102.66959171290672</c:v>
                </c:pt>
                <c:pt idx="993" formatCode="0.000">
                  <c:v>102.96772356011061</c:v>
                </c:pt>
                <c:pt idx="994" formatCode="0.000">
                  <c:v>103.28318721470404</c:v>
                </c:pt>
                <c:pt idx="995" formatCode="0.000">
                  <c:v>103.57823174136865</c:v>
                </c:pt>
                <c:pt idx="996" formatCode="0.000">
                  <c:v>104.11288955076401</c:v>
                </c:pt>
                <c:pt idx="997" formatCode="0.000">
                  <c:v>104.46132379385719</c:v>
                </c:pt>
                <c:pt idx="998" formatCode="0.000">
                  <c:v>104.83315021304249</c:v>
                </c:pt>
                <c:pt idx="999" formatCode="0.000">
                  <c:v>105.26496306451563</c:v>
                </c:pt>
                <c:pt idx="1000" formatCode="0.000">
                  <c:v>105.59154156742849</c:v>
                </c:pt>
                <c:pt idx="1001" formatCode="0.000">
                  <c:v>105.80857661439326</c:v>
                </c:pt>
                <c:pt idx="1002" formatCode="0.000">
                  <c:v>106.10952476606349</c:v>
                </c:pt>
                <c:pt idx="1003" formatCode="0.000">
                  <c:v>106.45688196575584</c:v>
                </c:pt>
                <c:pt idx="1004" formatCode="0.000">
                  <c:v>106.74630369312246</c:v>
                </c:pt>
                <c:pt idx="1005" formatCode="0.000">
                  <c:v>107.03607801003645</c:v>
                </c:pt>
                <c:pt idx="1006" formatCode="0.000">
                  <c:v>107.34348190543793</c:v>
                </c:pt>
                <c:pt idx="1007" formatCode="0.000">
                  <c:v>107.63075281168352</c:v>
                </c:pt>
                <c:pt idx="1008" formatCode="0.000">
                  <c:v>108.15791211206513</c:v>
                </c:pt>
                <c:pt idx="1009" formatCode="0.000">
                  <c:v>108.49900360936032</c:v>
                </c:pt>
                <c:pt idx="1010" formatCode="0.000">
                  <c:v>108.86385377509677</c:v>
                </c:pt>
                <c:pt idx="1011" formatCode="0.000">
                  <c:v>109.28893554746803</c:v>
                </c:pt>
                <c:pt idx="1012" formatCode="0.000">
                  <c:v>109.60901917738202</c:v>
                </c:pt>
                <c:pt idx="1013" formatCode="0.000">
                  <c:v>109.81978702449963</c:v>
                </c:pt>
                <c:pt idx="1014" formatCode="0.000">
                  <c:v>110.11468752526508</c:v>
                </c:pt>
                <c:pt idx="1015" formatCode="0.000">
                  <c:v>110.4562088829249</c:v>
                </c:pt>
                <c:pt idx="1016" formatCode="0.000">
                  <c:v>110.73999919837794</c:v>
                </c:pt>
                <c:pt idx="1017" formatCode="0.000">
                  <c:v>111.02433949486942</c:v>
                </c:pt>
                <c:pt idx="1018" formatCode="0.000">
                  <c:v>111.32650004314024</c:v>
                </c:pt>
                <c:pt idx="1019" formatCode="0.000">
                  <c:v>111.60871185945176</c:v>
                </c:pt>
                <c:pt idx="1020" formatCode="0.000">
                  <c:v>112.13099019604027</c:v>
                </c:pt>
                <c:pt idx="1021" formatCode="0.000">
                  <c:v>112.46728751783465</c:v>
                </c:pt>
                <c:pt idx="1022" formatCode="0.000">
                  <c:v>112.82759764481617</c:v>
                </c:pt>
                <c:pt idx="1023" formatCode="0.000">
                  <c:v>113.24830060530601</c:v>
                </c:pt>
                <c:pt idx="1024" formatCode="0.000">
                  <c:v>113.56416151314346</c:v>
                </c:pt>
                <c:pt idx="1025" formatCode="0.000">
                  <c:v>113.77085780617493</c:v>
                </c:pt>
                <c:pt idx="1026" formatCode="0.000">
                  <c:v>114.06183320296154</c:v>
                </c:pt>
                <c:pt idx="1027" formatCode="0.000">
                  <c:v>114.39957138219138</c:v>
                </c:pt>
                <c:pt idx="1028" formatCode="0.000">
                  <c:v>114.67971610358694</c:v>
                </c:pt>
                <c:pt idx="1029" formatCode="0.000">
                  <c:v>114.96054422327151</c:v>
                </c:pt>
                <c:pt idx="1030" formatCode="0.000">
                  <c:v>115.25932201016201</c:v>
                </c:pt>
                <c:pt idx="1031" formatCode="0.000">
                  <c:v>115.53827663576706</c:v>
                </c:pt>
                <c:pt idx="1032" formatCode="0.000">
                  <c:v>116.0574196569076</c:v>
                </c:pt>
                <c:pt idx="1033" formatCode="0.000">
                  <c:v>116.39063055044605</c:v>
                </c:pt>
                <c:pt idx="1034" formatCode="0.000">
                  <c:v>116.74804005370446</c:v>
                </c:pt>
                <c:pt idx="1035" formatCode="0.000">
                  <c:v>117.16595396456074</c:v>
                </c:pt>
                <c:pt idx="1036" formatCode="0.000">
                  <c:v>117.47913423162979</c:v>
                </c:pt>
                <c:pt idx="1037" formatCode="0.000">
                  <c:v>117.68325524440883</c:v>
                </c:pt>
                <c:pt idx="1038" formatCode="0.000">
                  <c:v>117.97175778457571</c:v>
                </c:pt>
                <c:pt idx="1039" formatCode="0.000">
                  <c:v>118.30712270029318</c:v>
                </c:pt>
                <c:pt idx="1040" formatCode="0.000">
                  <c:v>118.5849910222899</c:v>
                </c:pt>
                <c:pt idx="1041" formatCode="0.000">
                  <c:v>118.86363697466427</c:v>
                </c:pt>
                <c:pt idx="1042" formatCode="0.000">
                  <c:v>119.16032428696109</c:v>
                </c:pt>
                <c:pt idx="1043" formatCode="0.000">
                  <c:v>119.43727767988469</c:v>
                </c:pt>
                <c:pt idx="1044" formatCode="0.000">
                  <c:v>119.95450634415157</c:v>
                </c:pt>
                <c:pt idx="1045" formatCode="0.000">
                  <c:v>120.28582956956659</c:v>
                </c:pt>
                <c:pt idx="1046" formatCode="0.000">
                  <c:v>120.64149280644163</c:v>
                </c:pt>
                <c:pt idx="1047" formatCode="0.000">
                  <c:v>121.05774067345448</c:v>
                </c:pt>
                <c:pt idx="1048" formatCode="0.000">
                  <c:v>121.36933305801395</c:v>
                </c:pt>
                <c:pt idx="1049" formatCode="0.000">
                  <c:v>121.57194235654578</c:v>
                </c:pt>
                <c:pt idx="1050" formatCode="0.000">
                  <c:v>121.85900742297373</c:v>
                </c:pt>
                <c:pt idx="1051" formatCode="0.000">
                  <c:v>122.1930072403469</c:v>
                </c:pt>
                <c:pt idx="1052" formatCode="0.000">
                  <c:v>122.46958103437564</c:v>
                </c:pt>
                <c:pt idx="1053" formatCode="0.000">
                  <c:v>122.74700128181469</c:v>
                </c:pt>
                <c:pt idx="1054" formatCode="0.000">
                  <c:v>123.04253002023665</c:v>
                </c:pt>
                <c:pt idx="1055" formatCode="0.000">
                  <c:v>123.31839033155242</c:v>
                </c:pt>
                <c:pt idx="1056" formatCode="0.000">
                  <c:v>123.8345898187757</c:v>
                </c:pt>
                <c:pt idx="1057" formatCode="0.000">
                  <c:v>124.16489693634031</c:v>
                </c:pt>
                <c:pt idx="1058" formatCode="0.000">
                  <c:v>124.51965511432005</c:v>
                </c:pt>
                <c:pt idx="1059" formatCode="0.000">
                  <c:v>124.93505733147084</c:v>
                </c:pt>
                <c:pt idx="1060" formatCode="0.000">
                  <c:v>125.24586207344881</c:v>
                </c:pt>
                <c:pt idx="1061" formatCode="0.000">
                  <c:v>125.44774037693128</c:v>
                </c:pt>
                <c:pt idx="1062" formatCode="0.000">
                  <c:v>125.73412977652735</c:v>
                </c:pt>
                <c:pt idx="1063" formatCode="0.000">
                  <c:v>126.06750797490538</c:v>
                </c:pt>
                <c:pt idx="1064" formatCode="0.000">
                  <c:v>126.34351295489606</c:v>
                </c:pt>
                <c:pt idx="1065" formatCode="0.000">
                  <c:v>126.62041598650606</c:v>
                </c:pt>
                <c:pt idx="1066" formatCode="0.000">
                  <c:v>126.9154779353821</c:v>
                </c:pt>
                <c:pt idx="1067" formatCode="0.000">
                  <c:v>127.19092074507927</c:v>
                </c:pt>
                <c:pt idx="1068" formatCode="0.000">
                  <c:v>127.70675091262729</c:v>
                </c:pt>
                <c:pt idx="1069" formatCode="0.000">
                  <c:v>128.03669313517597</c:v>
                </c:pt>
                <c:pt idx="1070" formatCode="0.000">
                  <c:v>128.39117587080159</c:v>
                </c:pt>
                <c:pt idx="1071" formatCode="0.000">
                  <c:v>128.80634767819828</c:v>
                </c:pt>
                <c:pt idx="1072" formatCode="0.000">
                  <c:v>129.11696605592215</c:v>
                </c:pt>
                <c:pt idx="1073" formatCode="0.000">
                  <c:v>129.31870108064058</c:v>
                </c:pt>
                <c:pt idx="1074" formatCode="0.000">
                  <c:v>129.60498935311816</c:v>
                </c:pt>
                <c:pt idx="1075" formatCode="0.000">
                  <c:v>129.93830766745708</c:v>
                </c:pt>
                <c:pt idx="1076" formatCode="0.000">
                  <c:v>130.21429312234937</c:v>
                </c:pt>
                <c:pt idx="1077" formatCode="0.000">
                  <c:v>130.49121612727441</c:v>
                </c:pt>
                <c:pt idx="1078" formatCode="0.000">
                  <c:v>130.78633671017923</c:v>
                </c:pt>
                <c:pt idx="1079" formatCode="0.000">
                  <c:v>131.06187599899448</c:v>
                </c:pt>
                <c:pt idx="1080" formatCode="0.000">
                  <c:v>131.57783969647838</c:v>
                </c:pt>
                <c:pt idx="1081" formatCode="0.000">
                  <c:v>131.90791425266758</c:v>
                </c:pt>
                <c:pt idx="1082" formatCode="0.000">
                  <c:v>132.26260290152388</c:v>
                </c:pt>
                <c:pt idx="1083" formatCode="0.000">
                  <c:v>132.67801540054052</c:v>
                </c:pt>
                <c:pt idx="1084" formatCode="0.000">
                  <c:v>132.98890853300699</c:v>
                </c:pt>
                <c:pt idx="1085" formatCode="0.000">
                  <c:v>133.19095167845734</c:v>
                </c:pt>
                <c:pt idx="1086" formatCode="0.000">
                  <c:v>133.47758075808576</c:v>
                </c:pt>
                <c:pt idx="1087" formatCode="0.000">
                  <c:v>133.81127190343875</c:v>
                </c:pt>
                <c:pt idx="1088" formatCode="0.000">
                  <c:v>134.08766156713969</c:v>
                </c:pt>
                <c:pt idx="1089" formatCode="0.000">
                  <c:v>134.36501952857768</c:v>
                </c:pt>
                <c:pt idx="1090" formatCode="0.000">
                  <c:v>134.66060520109883</c:v>
                </c:pt>
                <c:pt idx="1091" formatCode="0.000">
                  <c:v>134.93663911305092</c:v>
                </c:pt>
                <c:pt idx="1092" formatCode="0.000">
                  <c:v>135.45312638217285</c:v>
                </c:pt>
                <c:pt idx="1093" formatCode="0.000">
                  <c:v>135.78371960067335</c:v>
                </c:pt>
                <c:pt idx="1094" formatCode="0.000">
                  <c:v>136.13898850714162</c:v>
                </c:pt>
                <c:pt idx="1095" formatCode="0.000">
                  <c:v>136.5550085318061</c:v>
                </c:pt>
                <c:pt idx="1096" formatCode="0.000">
                  <c:v>136.86653592716391</c:v>
                </c:pt>
                <c:pt idx="1097" formatCode="0.000">
                  <c:v>137.06923955447803</c:v>
                </c:pt>
                <c:pt idx="1098" formatCode="0.000">
                  <c:v>137.35655482882817</c:v>
                </c:pt>
                <c:pt idx="1099" formatCode="0.000">
                  <c:v>137.69095738745079</c:v>
                </c:pt>
                <c:pt idx="1100" formatCode="0.000">
                  <c:v>137.9680832001236</c:v>
                </c:pt>
                <c:pt idx="1101" formatCode="0.000">
                  <c:v>138.24620157452671</c:v>
                </c:pt>
                <c:pt idx="1102" formatCode="0.000">
                  <c:v>138.54257146311676</c:v>
                </c:pt>
                <c:pt idx="1103" formatCode="0.000">
                  <c:v>138.81941294386567</c:v>
                </c:pt>
                <c:pt idx="1104" formatCode="0.000">
                  <c:v>139.33673069435451</c:v>
                </c:pt>
                <c:pt idx="1105" formatCode="0.000">
                  <c:v>139.66814701304116</c:v>
                </c:pt>
                <c:pt idx="1106" formatCode="0.000">
                  <c:v>140.02429135978593</c:v>
                </c:pt>
                <c:pt idx="1107" formatCode="0.000">
                  <c:v>140.44120846858425</c:v>
                </c:pt>
                <c:pt idx="1108" formatCode="0.000">
                  <c:v>140.75365419002753</c:v>
                </c:pt>
                <c:pt idx="1109" formatCode="0.000">
                  <c:v>140.95729699235108</c:v>
                </c:pt>
                <c:pt idx="1110" formatCode="0.000">
                  <c:v>141.24557190624347</c:v>
                </c:pt>
                <c:pt idx="1111" formatCode="0.000">
                  <c:v>141.58095419295356</c:v>
                </c:pt>
                <c:pt idx="1112" formatCode="0.000">
                  <c:v>141.85907945444896</c:v>
                </c:pt>
                <c:pt idx="1113" formatCode="0.000">
                  <c:v>142.13821663855859</c:v>
                </c:pt>
                <c:pt idx="1114" formatCode="0.000">
                  <c:v>142.43562434563549</c:v>
                </c:pt>
                <c:pt idx="1115" formatCode="0.000">
                  <c:v>142.71352230909059</c:v>
                </c:pt>
                <c:pt idx="1116" formatCode="0.000">
                  <c:v>143.23191486928829</c:v>
                </c:pt>
                <c:pt idx="1117" formatCode="0.000">
                  <c:v>143.56439697241603</c:v>
                </c:pt>
                <c:pt idx="1118" formatCode="0.000">
                  <c:v>143.92165215671059</c:v>
                </c:pt>
                <c:pt idx="1119" formatCode="0.000">
                  <c:v>144.33969745514597</c:v>
                </c:pt>
                <c:pt idx="1120" formatCode="0.000">
                  <c:v>144.6532884087207</c:v>
                </c:pt>
                <c:pt idx="1121" formatCode="0.000">
                  <c:v>144.85809318251648</c:v>
                </c:pt>
                <c:pt idx="1122" formatCode="0.000">
                  <c:v>145.14754651034383</c:v>
                </c:pt>
                <c:pt idx="1123" formatCode="0.000">
                  <c:v>145.48412336268964</c:v>
                </c:pt>
                <c:pt idx="1124" formatCode="0.000">
                  <c:v>145.7634590567219</c:v>
                </c:pt>
                <c:pt idx="1125" formatCode="0.000">
                  <c:v>146.0438222612824</c:v>
                </c:pt>
                <c:pt idx="1126" formatCode="0.000">
                  <c:v>146.34247130340478</c:v>
                </c:pt>
                <c:pt idx="1127" formatCode="0.000">
                  <c:v>146.62162564870727</c:v>
                </c:pt>
                <c:pt idx="1128" formatCode="0.000">
                  <c:v>147.14128937515198</c:v>
                </c:pt>
                <c:pt idx="1129" formatCode="0.000">
                  <c:v>147.47503253854219</c:v>
                </c:pt>
                <c:pt idx="1130" formatCode="0.000">
                  <c:v>147.83358800230448</c:v>
                </c:pt>
                <c:pt idx="1131" formatCode="0.000">
                  <c:v>148.25294760397591</c:v>
                </c:pt>
                <c:pt idx="1132" formatCode="0.000">
                  <c:v>148.56786664251061</c:v>
                </c:pt>
                <c:pt idx="1133" formatCode="0.000">
                  <c:v>148.77401304570947</c:v>
                </c:pt>
                <c:pt idx="1134" formatCode="0.000">
                  <c:v>149.06482131475141</c:v>
                </c:pt>
                <c:pt idx="1135" formatCode="0.000">
                  <c:v>149.40276619203021</c:v>
                </c:pt>
                <c:pt idx="1136" formatCode="0.000">
                  <c:v>149.68348277105122</c:v>
                </c:pt>
                <c:pt idx="1137" formatCode="0.000">
                  <c:v>149.96523950131953</c:v>
                </c:pt>
                <c:pt idx="1138" formatCode="0.000">
                  <c:v>150.26529449475601</c:v>
                </c:pt>
                <c:pt idx="1139" formatCode="0.000">
                  <c:v>150.54586700599131</c:v>
                </c:pt>
                <c:pt idx="1140" formatCode="0.000">
                  <c:v>151.06696090602907</c:v>
                </c:pt>
                <c:pt idx="1141" formatCode="0.000">
                  <c:v>151.40212344607323</c:v>
                </c:pt>
                <c:pt idx="1142" formatCode="0.000">
                  <c:v>151.76213276649634</c:v>
                </c:pt>
                <c:pt idx="1143" formatCode="0.000">
                  <c:v>152.18295763115839</c:v>
                </c:pt>
                <c:pt idx="1144" formatCode="0.000">
                  <c:v>152.4993531473267</c:v>
                </c:pt>
                <c:pt idx="1145" formatCode="0.000">
                  <c:v>152.70698705470051</c:v>
                </c:pt>
                <c:pt idx="1146" formatCode="0.000">
                  <c:v>152.99929366986109</c:v>
                </c:pt>
                <c:pt idx="1147" formatCode="0.000">
                  <c:v>153.3387475540294</c:v>
                </c:pt>
                <c:pt idx="1148" formatCode="0.000">
                  <c:v>153.62098362288594</c:v>
                </c:pt>
                <c:pt idx="1149" formatCode="0.000">
                  <c:v>153.90427015138397</c:v>
                </c:pt>
                <c:pt idx="1150" formatCode="0.000">
                  <c:v>154.20586508009262</c:v>
                </c:pt>
                <c:pt idx="1151" formatCode="0.000">
                  <c:v>154.48798749541999</c:v>
                </c:pt>
                <c:pt idx="1152" formatCode="0.000">
                  <c:v>155.01064110320715</c:v>
                </c:pt>
                <c:pt idx="1153" formatCode="0.000">
                  <c:v>155.34735213627542</c:v>
                </c:pt>
                <c:pt idx="1154" formatCode="0.000">
                  <c:v>155.70894052998702</c:v>
                </c:pt>
                <c:pt idx="1155" formatCode="0.000">
                  <c:v>156.13135379068819</c:v>
                </c:pt>
                <c:pt idx="1156" formatCode="0.000">
                  <c:v>156.44934687212037</c:v>
                </c:pt>
                <c:pt idx="1157" formatCode="0.000">
                  <c:v>156.65858736319694</c:v>
                </c:pt>
                <c:pt idx="1158" formatCode="0.000">
                  <c:v>156.95250943239395</c:v>
                </c:pt>
                <c:pt idx="1159" formatCode="0.000">
                  <c:v>157.29358749545071</c:v>
                </c:pt>
                <c:pt idx="1160" formatCode="0.000">
                  <c:v>157.57745632513348</c:v>
                </c:pt>
                <c:pt idx="1161" formatCode="0.000">
                  <c:v>157.86238405599408</c:v>
                </c:pt>
                <c:pt idx="1162" formatCode="0.000">
                  <c:v>158.16562849065997</c:v>
                </c:pt>
                <c:pt idx="1163" formatCode="0.000">
                  <c:v>158.44940858000558</c:v>
                </c:pt>
                <c:pt idx="1164" formatCode="0.000">
                  <c:v>158.97372789669555</c:v>
                </c:pt>
                <c:pt idx="1165" formatCode="0.000">
                  <c:v>159.3120931994838</c:v>
                </c:pt>
                <c:pt idx="1166" formatCode="0.000">
                  <c:v>159.67536319729891</c:v>
                </c:pt>
                <c:pt idx="1167" formatCode="0.000">
                  <c:v>160.09946570847001</c:v>
                </c:pt>
                <c:pt idx="1168" formatCode="0.000">
                  <c:v>160.41915556255287</c:v>
                </c:pt>
                <c:pt idx="1169" formatCode="0.000">
                  <c:v>160.63010022639733</c:v>
                </c:pt>
                <c:pt idx="1170" formatCode="0.000">
                  <c:v>160.92573374849468</c:v>
                </c:pt>
                <c:pt idx="1171" formatCode="0.000">
                  <c:v>161.26853042663566</c:v>
                </c:pt>
                <c:pt idx="1172" formatCode="0.000">
                  <c:v>161.55412491763278</c:v>
                </c:pt>
                <c:pt idx="1173" formatCode="0.000">
                  <c:v>161.84078524203886</c:v>
                </c:pt>
                <c:pt idx="1174" formatCode="0.000">
                  <c:v>162.14576909039744</c:v>
                </c:pt>
                <c:pt idx="1175" formatCode="0.000">
                  <c:v>162.43129530337558</c:v>
                </c:pt>
                <c:pt idx="1176" formatCode="0.000">
                  <c:v>162.95736734526992</c:v>
                </c:pt>
                <c:pt idx="1177" formatCode="0.000">
                  <c:v>163.29747384735686</c:v>
                </c:pt>
                <c:pt idx="1178" formatCode="0.000">
                  <c:v>163.66250964939795</c:v>
                </c:pt>
                <c:pt idx="1179" formatCode="0.000">
                  <c:v>164.08838424966581</c:v>
                </c:pt>
                <c:pt idx="1180" formatCode="0.000">
                  <c:v>164.40985237638071</c:v>
                </c:pt>
                <c:pt idx="1181" formatCode="0.000">
                  <c:v>164.62258139672062</c:v>
                </c:pt>
                <c:pt idx="1182" formatCode="0.000">
                  <c:v>164.92000526113617</c:v>
                </c:pt>
                <c:pt idx="1183" formatCode="0.000">
                  <c:v>165.26459817097674</c:v>
                </c:pt>
                <c:pt idx="1184" formatCode="0.000">
                  <c:v>165.55199468818211</c:v>
                </c:pt>
                <c:pt idx="1185" formatCode="0.000">
                  <c:v>165.84046273997012</c:v>
                </c:pt>
                <c:pt idx="1186" formatCode="0.000">
                  <c:v>166.1472599250578</c:v>
                </c:pt>
                <c:pt idx="1187" formatCode="0.000">
                  <c:v>166.43460499376522</c:v>
                </c:pt>
                <c:pt idx="1188" formatCode="0.000">
                  <c:v>166.96250132149297</c:v>
                </c:pt>
                <c:pt idx="1189" formatCode="0.000">
                  <c:v>167.30442059524373</c:v>
                </c:pt>
                <c:pt idx="1190" formatCode="0.000">
                  <c:v>167.67129145740125</c:v>
                </c:pt>
                <c:pt idx="1191" formatCode="0.000">
                  <c:v>168.09900628767369</c:v>
                </c:pt>
                <c:pt idx="1192" formatCode="0.000">
                  <c:v>168.42231973094772</c:v>
                </c:pt>
                <c:pt idx="1193" formatCode="0.000">
                  <c:v>168.63689907238603</c:v>
                </c:pt>
                <c:pt idx="1194" formatCode="0.000">
                  <c:v>168.93617818171793</c:v>
                </c:pt>
                <c:pt idx="1195" formatCode="0.000">
                  <c:v>169.28263118084107</c:v>
                </c:pt>
                <c:pt idx="1196" formatCode="0.000">
                  <c:v>169.57189255348945</c:v>
                </c:pt>
                <c:pt idx="1197" formatCode="0.000">
                  <c:v>169.86223014989821</c:v>
                </c:pt>
                <c:pt idx="1198" formatCode="0.000">
                  <c:v>170.17090149300202</c:v>
                </c:pt>
                <c:pt idx="1199" formatCode="0.000">
                  <c:v>170.46012525851697</c:v>
                </c:pt>
                <c:pt idx="1200" formatCode="0.000">
                  <c:v>170.98990474839638</c:v>
                </c:pt>
                <c:pt idx="1201" formatCode="0.000">
                  <c:v>171.3336957522306</c:v>
                </c:pt>
                <c:pt idx="1202" formatCode="0.000">
                  <c:v>171.7024586504275</c:v>
                </c:pt>
                <c:pt idx="1203" formatCode="0.000">
                  <c:v>172.13206976676412</c:v>
                </c:pt>
                <c:pt idx="1204" formatCode="0.000">
                  <c:v>172.45728367712329</c:v>
                </c:pt>
                <c:pt idx="1205" formatCode="0.000">
                  <c:v>172.67376759871891</c:v>
                </c:pt>
                <c:pt idx="1206" formatCode="0.000">
                  <c:v>172.97495533436759</c:v>
                </c:pt>
                <c:pt idx="1207" formatCode="0.000">
                  <c:v>173.32332094007205</c:v>
                </c:pt>
                <c:pt idx="1208" formatCode="0.000">
                  <c:v>173.61449883467063</c:v>
                </c:pt>
                <c:pt idx="1209" formatCode="0.000">
                  <c:v>173.90675680448453</c:v>
                </c:pt>
                <c:pt idx="1210" formatCode="0.000">
                  <c:v>174.21735230949884</c:v>
                </c:pt>
                <c:pt idx="1211" formatCode="0.000">
                  <c:v>174.50850396342719</c:v>
                </c:pt>
                <c:pt idx="1212" formatCode="0.000">
                  <c:v>175.04021500715101</c:v>
                </c:pt>
                <c:pt idx="1213" formatCode="0.000">
                  <c:v>175.38592626491882</c:v>
                </c:pt>
                <c:pt idx="1214" formatCode="0.000">
                  <c:v>175.7566280133513</c:v>
                </c:pt>
                <c:pt idx="1215" formatCode="0.000">
                  <c:v>176.18818146606219</c:v>
                </c:pt>
                <c:pt idx="1216" formatCode="0.000">
                  <c:v>176.51534114144408</c:v>
                </c:pt>
                <c:pt idx="1217" formatCode="0.000">
                  <c:v>176.73377420007262</c:v>
                </c:pt>
                <c:pt idx="1218" formatCode="0.000">
                  <c:v>177.03691438896325</c:v>
                </c:pt>
                <c:pt idx="1219" formatCode="0.000">
                  <c:v>177.38723570914016</c:v>
                </c:pt>
                <c:pt idx="1220" formatCode="0.000">
                  <c:v>177.68037252527182</c:v>
                </c:pt>
                <c:pt idx="1221" formatCode="0.000">
                  <c:v>177.97459257030425</c:v>
                </c:pt>
                <c:pt idx="1222" formatCode="0.000">
                  <c:v>178.28715325162858</c:v>
                </c:pt>
                <c:pt idx="1223" formatCode="0.000">
                  <c:v>178.58027313113223</c:v>
                </c:pt>
                <c:pt idx="1224" formatCode="0.000">
                  <c:v>179.11395539862542</c:v>
                </c:pt>
                <c:pt idx="1225" formatCode="0.000">
                  <c:v>179.46162674765225</c:v>
                </c:pt>
                <c:pt idx="1226" formatCode="0.000">
                  <c:v>179.83430569895853</c:v>
                </c:pt>
                <c:pt idx="1227" formatCode="0.000">
                  <c:v>180.26783920260431</c:v>
                </c:pt>
                <c:pt idx="1228" formatCode="0.000">
                  <c:v>180.5969817288219</c:v>
                </c:pt>
                <c:pt idx="1229" formatCode="0.000">
                  <c:v>180.81740039071988</c:v>
                </c:pt>
                <c:pt idx="1230" formatCode="0.000">
                  <c:v>181.12252888852828</c:v>
                </c:pt>
                <c:pt idx="1231" formatCode="0.000">
                  <c:v>181.47484117715632</c:v>
                </c:pt>
                <c:pt idx="1232" formatCode="0.000">
                  <c:v>181.76997157581681</c:v>
                </c:pt>
                <c:pt idx="1233" formatCode="0.000">
                  <c:v>182.06618777264845</c:v>
                </c:pt>
                <c:pt idx="1234" formatCode="0.000">
                  <c:v>182.38074713087286</c:v>
                </c:pt>
                <c:pt idx="1235" formatCode="0.000">
                  <c:v>182.67586816883517</c:v>
                </c:pt>
                <c:pt idx="1236" formatCode="0.000">
                  <c:v>183.21155403342038</c:v>
                </c:pt>
                <c:pt idx="1237" formatCode="0.000">
                  <c:v>183.56121803878943</c:v>
                </c:pt>
                <c:pt idx="1238" formatCode="0.000">
                  <c:v>183.93590546043026</c:v>
                </c:pt>
                <c:pt idx="1239" formatCode="0.000">
                  <c:v>184.37144974669772</c:v>
                </c:pt>
                <c:pt idx="1240" formatCode="0.000">
                  <c:v>184.70260532728219</c:v>
                </c:pt>
                <c:pt idx="1241" formatCode="0.000">
                  <c:v>184.9250392753188</c:v>
                </c:pt>
                <c:pt idx="1242" formatCode="0.000">
                  <c:v>185.23218525162321</c:v>
                </c:pt>
                <c:pt idx="1243" formatCode="0.000">
                  <c:v>185.58651717224063</c:v>
                </c:pt>
                <c:pt idx="1244" formatCode="0.000">
                  <c:v>185.88366931806115</c:v>
                </c:pt>
                <c:pt idx="1245" formatCode="0.000">
                  <c:v>186.18190933943373</c:v>
                </c:pt>
                <c:pt idx="1246" formatCode="0.000">
                  <c:v>186.49849456231436</c:v>
                </c:pt>
                <c:pt idx="1247" formatCode="0.000">
                  <c:v>186.79564346829864</c:v>
                </c:pt>
                <c:pt idx="1248" formatCode="0.000">
                  <c:v>187.3333591680298</c:v>
                </c:pt>
                <c:pt idx="1249" formatCode="0.000">
                  <c:v>187.68504227587397</c:v>
                </c:pt>
                <c:pt idx="1250" formatCode="0.000">
                  <c:v>188.06176347312055</c:v>
                </c:pt>
                <c:pt idx="1251" formatCode="0.000">
                  <c:v>188.49934339531433</c:v>
                </c:pt>
                <c:pt idx="1252" formatCode="0.000">
                  <c:v>188.83253643786884</c:v>
                </c:pt>
                <c:pt idx="1253" formatCode="0.000">
                  <c:v>189.05700964011129</c:v>
                </c:pt>
                <c:pt idx="1254" formatCode="0.000">
                  <c:v>189.36619662951136</c:v>
                </c:pt>
                <c:pt idx="1255" formatCode="0.000">
                  <c:v>189.72257128922271</c:v>
                </c:pt>
                <c:pt idx="1256" formatCode="0.000">
                  <c:v>190.02176786769149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E8-432B-BA74-D31F52CFF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727840"/>
        <c:axId val="66721120"/>
      </c:lineChart>
      <c:catAx>
        <c:axId val="6672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DATE</a:t>
                </a:r>
              </a:p>
            </c:rich>
          </c:tx>
          <c:overlay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21120"/>
        <c:crosses val="autoZero"/>
        <c:auto val="1"/>
        <c:lblAlgn val="ctr"/>
        <c:lblOffset val="100"/>
        <c:noMultiLvlLbl val="0"/>
      </c:catAx>
      <c:valAx>
        <c:axId val="6672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PRICE</a:t>
                </a:r>
              </a:p>
            </c:rich>
          </c:tx>
          <c:overlay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2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8</xdr:row>
      <xdr:rowOff>133350</xdr:rowOff>
    </xdr:from>
    <xdr:to>
      <xdr:col>17</xdr:col>
      <xdr:colOff>535305</xdr:colOff>
      <xdr:row>28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9E7388-0CBF-B675-F876-7377F3938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683D98-547D-46BA-9496-42B31AD2B2F3}" name="Table6" displayName="Table6" ref="A1:E1259" totalsRowCount="1">
  <autoFilter ref="A1:E1258" xr:uid="{50683D98-547D-46BA-9496-42B31AD2B2F3}"/>
  <tableColumns count="5">
    <tableColumn id="1" xr3:uid="{FF0965F2-2FF3-42CD-B38A-DB97802DCD63}" name="observation_date" dataDxfId="8" totalsRowDxfId="3"/>
    <tableColumn id="2" xr3:uid="{0031BCFF-5EFF-4AD7-B4DF-CAD813880B3C}" name="WTISPLC"/>
    <tableColumn id="3" xr3:uid="{6E26F7E8-3678-48FE-B3F4-25D89F4428D3}" name="Forecast(WTISPLC)" totalsRowFunction="custom" dataDxfId="7" totalsRowDxfId="2">
      <calculatedColumnFormula>_xlfn.FORECAST.ETS(A2,$B$2:$B$950,$A$2:$A$950,12,1)</calculatedColumnFormula>
      <totalsRowFormula>AVERAGE(C950:C1258)</totalsRowFormula>
    </tableColumn>
    <tableColumn id="4" xr3:uid="{8D710EB4-B57E-4B8D-AF95-1C936B3D0FDB}" name="Lower Confidence Bound(WTISPLC)" totalsRowFunction="custom" dataDxfId="6" totalsRowDxfId="1">
      <calculatedColumnFormula>C2-_xlfn.FORECAST.ETS.CONFINT(A2,$B$2:$B$950,$A$2:$A$950,0.95,12,1)</calculatedColumnFormula>
      <totalsRowFormula>AVERAGE(D950:D1258)</totalsRowFormula>
    </tableColumn>
    <tableColumn id="5" xr3:uid="{AC08062C-750A-459D-ACE9-97DE1F764382}" name="Upper Confidence Bound(WTISPLC)" totalsRowFunction="custom" dataDxfId="5" totalsRowDxfId="0">
      <calculatedColumnFormula>C2+_xlfn.FORECAST.ETS.CONFINT(A2,$B$2:$B$950,$A$2:$A$950,0.95,12,1)</calculatedColumnFormula>
      <totalsRowFormula>AVERAGE(E950:E1258)</totalsRowFormula>
    </tableColumn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CE8E3EB-7F4A-47D7-A3F1-EC562190686B}" name="Table7" displayName="Table7" ref="G1:H8" totalsRowShown="0">
  <autoFilter ref="G1:H8" xr:uid="{3CE8E3EB-7F4A-47D7-A3F1-EC562190686B}"/>
  <tableColumns count="2">
    <tableColumn id="1" xr3:uid="{18EA8428-225C-4263-A4B4-4FE6D2E03CB7}" name="Statistic"/>
    <tableColumn id="2" xr3:uid="{3DBD6F46-D3C2-4358-9B20-DE861BEBA05B}" name="Value" dataDxfId="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0D49-0035-40F3-BCFD-F3C05AECAD5F}">
  <dimension ref="A1:H1259"/>
  <sheetViews>
    <sheetView topLeftCell="A1228" workbookViewId="0"/>
  </sheetViews>
  <sheetFormatPr defaultRowHeight="14.4"/>
  <cols>
    <col min="1" max="1" width="17.6640625" customWidth="1"/>
    <col min="2" max="2" width="10.33203125" customWidth="1"/>
    <col min="3" max="3" width="18.6640625" customWidth="1"/>
    <col min="4" max="4" width="32.77734375" customWidth="1"/>
    <col min="5" max="5" width="32.88671875" customWidth="1"/>
    <col min="7" max="7" width="9.44140625" customWidth="1"/>
    <col min="8" max="8" width="7.6640625" customWidth="1"/>
  </cols>
  <sheetData>
    <row r="1" spans="1:8">
      <c r="A1" t="s">
        <v>0</v>
      </c>
      <c r="B1" t="s">
        <v>1</v>
      </c>
      <c r="C1" t="s">
        <v>48</v>
      </c>
      <c r="D1" t="s">
        <v>49</v>
      </c>
      <c r="E1" t="s">
        <v>50</v>
      </c>
      <c r="G1" t="s">
        <v>51</v>
      </c>
      <c r="H1" t="s">
        <v>52</v>
      </c>
    </row>
    <row r="2" spans="1:8">
      <c r="A2" s="103">
        <v>16803</v>
      </c>
      <c r="B2" s="104">
        <v>1.17</v>
      </c>
      <c r="G2" t="s">
        <v>53</v>
      </c>
      <c r="H2" s="105">
        <f>_xlfn.FORECAST.ETS.STAT($B$2:$B$950,$A$2:$A$950,1,12,1)</f>
        <v>0.251</v>
      </c>
    </row>
    <row r="3" spans="1:8">
      <c r="A3" s="103">
        <v>16834</v>
      </c>
      <c r="B3" s="104">
        <v>1.17</v>
      </c>
      <c r="G3" t="s">
        <v>54</v>
      </c>
      <c r="H3" s="105">
        <f>_xlfn.FORECAST.ETS.STAT($B$2:$B$950,$A$2:$A$950,2,12,1)</f>
        <v>1E-3</v>
      </c>
    </row>
    <row r="4" spans="1:8">
      <c r="A4" s="103">
        <v>16862</v>
      </c>
      <c r="B4" s="104">
        <v>1.17</v>
      </c>
      <c r="G4" t="s">
        <v>55</v>
      </c>
      <c r="H4" s="105">
        <f>_xlfn.FORECAST.ETS.STAT($B$2:$B$950,$A$2:$A$950,3,12,1)</f>
        <v>1E-3</v>
      </c>
    </row>
    <row r="5" spans="1:8">
      <c r="A5" s="103">
        <v>16893</v>
      </c>
      <c r="B5" s="104">
        <v>1.27</v>
      </c>
      <c r="G5" t="s">
        <v>56</v>
      </c>
      <c r="H5" s="105">
        <f>_xlfn.FORECAST.ETS.STAT($B$2:$B$950,$A$2:$A$950,4,12,1)</f>
        <v>7.4139272383189825</v>
      </c>
    </row>
    <row r="6" spans="1:8">
      <c r="A6" s="103">
        <v>16923</v>
      </c>
      <c r="B6" s="104">
        <v>1.27</v>
      </c>
      <c r="G6" t="s">
        <v>57</v>
      </c>
      <c r="H6" s="105">
        <f>_xlfn.FORECAST.ETS.STAT($B$2:$B$950,$A$2:$A$950,5,12,1)</f>
        <v>0.1060318621724966</v>
      </c>
    </row>
    <row r="7" spans="1:8">
      <c r="A7" s="103">
        <v>16954</v>
      </c>
      <c r="B7" s="104">
        <v>1.27</v>
      </c>
      <c r="G7" t="s">
        <v>58</v>
      </c>
      <c r="H7" s="105">
        <f>_xlfn.FORECAST.ETS.STAT($B$2:$B$950,$A$2:$A$950,6,12,1)</f>
        <v>6.9800070958377383</v>
      </c>
    </row>
    <row r="8" spans="1:8">
      <c r="A8" s="103">
        <v>16984</v>
      </c>
      <c r="B8" s="104">
        <v>1.27</v>
      </c>
      <c r="G8" t="s">
        <v>59</v>
      </c>
      <c r="H8" s="105">
        <f>_xlfn.FORECAST.ETS.STAT($B$2:$B$950,$A$2:$A$950,7,12,1)</f>
        <v>9.4545165745267123</v>
      </c>
    </row>
    <row r="9" spans="1:8">
      <c r="A9" s="103">
        <v>17015</v>
      </c>
      <c r="B9" s="104">
        <v>1.52</v>
      </c>
    </row>
    <row r="10" spans="1:8">
      <c r="A10" s="103">
        <v>17046</v>
      </c>
      <c r="B10" s="104">
        <v>1.52</v>
      </c>
    </row>
    <row r="11" spans="1:8">
      <c r="A11" s="103">
        <v>17076</v>
      </c>
      <c r="B11" s="104">
        <v>1.52</v>
      </c>
    </row>
    <row r="12" spans="1:8">
      <c r="A12" s="103">
        <v>17107</v>
      </c>
      <c r="B12" s="104">
        <v>1.52</v>
      </c>
    </row>
    <row r="13" spans="1:8">
      <c r="A13" s="103">
        <v>17137</v>
      </c>
      <c r="B13" s="104">
        <v>1.62</v>
      </c>
    </row>
    <row r="14" spans="1:8">
      <c r="A14" s="103">
        <v>17168</v>
      </c>
      <c r="B14" s="104">
        <v>1.62</v>
      </c>
    </row>
    <row r="15" spans="1:8">
      <c r="A15" s="103">
        <v>17199</v>
      </c>
      <c r="B15" s="104">
        <v>1.62</v>
      </c>
    </row>
    <row r="16" spans="1:8">
      <c r="A16" s="103">
        <v>17227</v>
      </c>
      <c r="B16" s="104">
        <v>1.62</v>
      </c>
    </row>
    <row r="17" spans="1:2">
      <c r="A17" s="103">
        <v>17258</v>
      </c>
      <c r="B17" s="104">
        <v>1.87</v>
      </c>
    </row>
    <row r="18" spans="1:2">
      <c r="A18" s="103">
        <v>17288</v>
      </c>
      <c r="B18" s="104">
        <v>1.87</v>
      </c>
    </row>
    <row r="19" spans="1:2">
      <c r="A19" s="103">
        <v>17319</v>
      </c>
      <c r="B19" s="104">
        <v>1.87</v>
      </c>
    </row>
    <row r="20" spans="1:2">
      <c r="A20" s="103">
        <v>17349</v>
      </c>
      <c r="B20" s="104">
        <v>1.87</v>
      </c>
    </row>
    <row r="21" spans="1:2">
      <c r="A21" s="103">
        <v>17380</v>
      </c>
      <c r="B21" s="104">
        <v>1.87</v>
      </c>
    </row>
    <row r="22" spans="1:2">
      <c r="A22" s="103">
        <v>17411</v>
      </c>
      <c r="B22" s="104">
        <v>1.87</v>
      </c>
    </row>
    <row r="23" spans="1:2">
      <c r="A23" s="103">
        <v>17441</v>
      </c>
      <c r="B23" s="104">
        <v>1.87</v>
      </c>
    </row>
    <row r="24" spans="1:2">
      <c r="A24" s="103">
        <v>17472</v>
      </c>
      <c r="B24" s="104">
        <v>2.0699999999999998</v>
      </c>
    </row>
    <row r="25" spans="1:2">
      <c r="A25" s="103">
        <v>17502</v>
      </c>
      <c r="B25" s="104">
        <v>2.0699999999999998</v>
      </c>
    </row>
    <row r="26" spans="1:2">
      <c r="A26" s="103">
        <v>17533</v>
      </c>
      <c r="B26" s="104">
        <v>2.57</v>
      </c>
    </row>
    <row r="27" spans="1:2">
      <c r="A27" s="103">
        <v>17564</v>
      </c>
      <c r="B27" s="104">
        <v>2.57</v>
      </c>
    </row>
    <row r="28" spans="1:2">
      <c r="A28" s="103">
        <v>17593</v>
      </c>
      <c r="B28" s="104">
        <v>2.57</v>
      </c>
    </row>
    <row r="29" spans="1:2">
      <c r="A29" s="103">
        <v>17624</v>
      </c>
      <c r="B29" s="104">
        <v>2.57</v>
      </c>
    </row>
    <row r="30" spans="1:2">
      <c r="A30" s="103">
        <v>17654</v>
      </c>
      <c r="B30" s="104">
        <v>2.57</v>
      </c>
    </row>
    <row r="31" spans="1:2">
      <c r="A31" s="103">
        <v>17685</v>
      </c>
      <c r="B31" s="104">
        <v>2.57</v>
      </c>
    </row>
    <row r="32" spans="1:2">
      <c r="A32" s="103">
        <v>17715</v>
      </c>
      <c r="B32" s="104">
        <v>2.57</v>
      </c>
    </row>
    <row r="33" spans="1:2">
      <c r="A33" s="103">
        <v>17746</v>
      </c>
      <c r="B33" s="104">
        <v>2.57</v>
      </c>
    </row>
    <row r="34" spans="1:2">
      <c r="A34" s="103">
        <v>17777</v>
      </c>
      <c r="B34" s="104">
        <v>2.57</v>
      </c>
    </row>
    <row r="35" spans="1:2">
      <c r="A35" s="103">
        <v>17807</v>
      </c>
      <c r="B35" s="104">
        <v>2.57</v>
      </c>
    </row>
    <row r="36" spans="1:2">
      <c r="A36" s="103">
        <v>17838</v>
      </c>
      <c r="B36" s="104">
        <v>2.57</v>
      </c>
    </row>
    <row r="37" spans="1:2">
      <c r="A37" s="103">
        <v>17868</v>
      </c>
      <c r="B37" s="104">
        <v>2.57</v>
      </c>
    </row>
    <row r="38" spans="1:2">
      <c r="A38" s="103">
        <v>17899</v>
      </c>
      <c r="B38" s="104">
        <v>2.57</v>
      </c>
    </row>
    <row r="39" spans="1:2">
      <c r="A39" s="103">
        <v>17930</v>
      </c>
      <c r="B39" s="104">
        <v>2.57</v>
      </c>
    </row>
    <row r="40" spans="1:2">
      <c r="A40" s="103">
        <v>17958</v>
      </c>
      <c r="B40" s="104">
        <v>2.57</v>
      </c>
    </row>
    <row r="41" spans="1:2">
      <c r="A41" s="103">
        <v>17989</v>
      </c>
      <c r="B41" s="104">
        <v>2.57</v>
      </c>
    </row>
    <row r="42" spans="1:2">
      <c r="A42" s="103">
        <v>18019</v>
      </c>
      <c r="B42" s="104">
        <v>2.57</v>
      </c>
    </row>
    <row r="43" spans="1:2">
      <c r="A43" s="103">
        <v>18050</v>
      </c>
      <c r="B43" s="104">
        <v>2.57</v>
      </c>
    </row>
    <row r="44" spans="1:2">
      <c r="A44" s="103">
        <v>18080</v>
      </c>
      <c r="B44" s="104">
        <v>2.57</v>
      </c>
    </row>
    <row r="45" spans="1:2">
      <c r="A45" s="103">
        <v>18111</v>
      </c>
      <c r="B45" s="104">
        <v>2.57</v>
      </c>
    </row>
    <row r="46" spans="1:2">
      <c r="A46" s="103">
        <v>18142</v>
      </c>
      <c r="B46" s="104">
        <v>2.57</v>
      </c>
    </row>
    <row r="47" spans="1:2">
      <c r="A47" s="103">
        <v>18172</v>
      </c>
      <c r="B47" s="104">
        <v>2.57</v>
      </c>
    </row>
    <row r="48" spans="1:2">
      <c r="A48" s="103">
        <v>18203</v>
      </c>
      <c r="B48" s="104">
        <v>2.57</v>
      </c>
    </row>
    <row r="49" spans="1:2">
      <c r="A49" s="103">
        <v>18233</v>
      </c>
      <c r="B49" s="104">
        <v>2.57</v>
      </c>
    </row>
    <row r="50" spans="1:2">
      <c r="A50" s="103">
        <v>18264</v>
      </c>
      <c r="B50" s="104">
        <v>2.57</v>
      </c>
    </row>
    <row r="51" spans="1:2">
      <c r="A51" s="103">
        <v>18295</v>
      </c>
      <c r="B51" s="104">
        <v>2.57</v>
      </c>
    </row>
    <row r="52" spans="1:2">
      <c r="A52" s="103">
        <v>18323</v>
      </c>
      <c r="B52" s="104">
        <v>2.57</v>
      </c>
    </row>
    <row r="53" spans="1:2">
      <c r="A53" s="103">
        <v>18354</v>
      </c>
      <c r="B53" s="104">
        <v>2.57</v>
      </c>
    </row>
    <row r="54" spans="1:2">
      <c r="A54" s="103">
        <v>18384</v>
      </c>
      <c r="B54" s="104">
        <v>2.57</v>
      </c>
    </row>
    <row r="55" spans="1:2">
      <c r="A55" s="103">
        <v>18415</v>
      </c>
      <c r="B55" s="104">
        <v>2.57</v>
      </c>
    </row>
    <row r="56" spans="1:2">
      <c r="A56" s="103">
        <v>18445</v>
      </c>
      <c r="B56" s="104">
        <v>2.57</v>
      </c>
    </row>
    <row r="57" spans="1:2">
      <c r="A57" s="103">
        <v>18476</v>
      </c>
      <c r="B57" s="104">
        <v>2.57</v>
      </c>
    </row>
    <row r="58" spans="1:2">
      <c r="A58" s="103">
        <v>18507</v>
      </c>
      <c r="B58" s="104">
        <v>2.57</v>
      </c>
    </row>
    <row r="59" spans="1:2">
      <c r="A59" s="103">
        <v>18537</v>
      </c>
      <c r="B59" s="104">
        <v>2.57</v>
      </c>
    </row>
    <row r="60" spans="1:2">
      <c r="A60" s="103">
        <v>18568</v>
      </c>
      <c r="B60" s="104">
        <v>2.57</v>
      </c>
    </row>
    <row r="61" spans="1:2">
      <c r="A61" s="103">
        <v>18598</v>
      </c>
      <c r="B61" s="104">
        <v>2.57</v>
      </c>
    </row>
    <row r="62" spans="1:2">
      <c r="A62" s="103">
        <v>18629</v>
      </c>
      <c r="B62" s="104">
        <v>2.57</v>
      </c>
    </row>
    <row r="63" spans="1:2">
      <c r="A63" s="103">
        <v>18660</v>
      </c>
      <c r="B63" s="104">
        <v>2.57</v>
      </c>
    </row>
    <row r="64" spans="1:2">
      <c r="A64" s="103">
        <v>18688</v>
      </c>
      <c r="B64" s="104">
        <v>2.57</v>
      </c>
    </row>
    <row r="65" spans="1:2">
      <c r="A65" s="103">
        <v>18719</v>
      </c>
      <c r="B65" s="104">
        <v>2.57</v>
      </c>
    </row>
    <row r="66" spans="1:2">
      <c r="A66" s="103">
        <v>18749</v>
      </c>
      <c r="B66" s="104">
        <v>2.57</v>
      </c>
    </row>
    <row r="67" spans="1:2">
      <c r="A67" s="103">
        <v>18780</v>
      </c>
      <c r="B67" s="104">
        <v>2.57</v>
      </c>
    </row>
    <row r="68" spans="1:2">
      <c r="A68" s="103">
        <v>18810</v>
      </c>
      <c r="B68" s="104">
        <v>2.57</v>
      </c>
    </row>
    <row r="69" spans="1:2">
      <c r="A69" s="103">
        <v>18841</v>
      </c>
      <c r="B69" s="104">
        <v>2.57</v>
      </c>
    </row>
    <row r="70" spans="1:2">
      <c r="A70" s="103">
        <v>18872</v>
      </c>
      <c r="B70" s="104">
        <v>2.57</v>
      </c>
    </row>
    <row r="71" spans="1:2">
      <c r="A71" s="103">
        <v>18902</v>
      </c>
      <c r="B71" s="104">
        <v>2.57</v>
      </c>
    </row>
    <row r="72" spans="1:2">
      <c r="A72" s="103">
        <v>18933</v>
      </c>
      <c r="B72" s="104">
        <v>2.57</v>
      </c>
    </row>
    <row r="73" spans="1:2">
      <c r="A73" s="103">
        <v>18963</v>
      </c>
      <c r="B73" s="104">
        <v>2.57</v>
      </c>
    </row>
    <row r="74" spans="1:2">
      <c r="A74" s="103">
        <v>18994</v>
      </c>
      <c r="B74" s="104">
        <v>2.57</v>
      </c>
    </row>
    <row r="75" spans="1:2">
      <c r="A75" s="103">
        <v>19025</v>
      </c>
      <c r="B75" s="104">
        <v>2.57</v>
      </c>
    </row>
    <row r="76" spans="1:2">
      <c r="A76" s="103">
        <v>19054</v>
      </c>
      <c r="B76" s="104">
        <v>2.57</v>
      </c>
    </row>
    <row r="77" spans="1:2">
      <c r="A77" s="103">
        <v>19085</v>
      </c>
      <c r="B77" s="104">
        <v>2.57</v>
      </c>
    </row>
    <row r="78" spans="1:2">
      <c r="A78" s="103">
        <v>19115</v>
      </c>
      <c r="B78" s="104">
        <v>2.57</v>
      </c>
    </row>
    <row r="79" spans="1:2">
      <c r="A79" s="103">
        <v>19146</v>
      </c>
      <c r="B79" s="104">
        <v>2.57</v>
      </c>
    </row>
    <row r="80" spans="1:2">
      <c r="A80" s="103">
        <v>19176</v>
      </c>
      <c r="B80" s="104">
        <v>2.57</v>
      </c>
    </row>
    <row r="81" spans="1:2">
      <c r="A81" s="103">
        <v>19207</v>
      </c>
      <c r="B81" s="104">
        <v>2.57</v>
      </c>
    </row>
    <row r="82" spans="1:2">
      <c r="A82" s="103">
        <v>19238</v>
      </c>
      <c r="B82" s="104">
        <v>2.57</v>
      </c>
    </row>
    <row r="83" spans="1:2">
      <c r="A83" s="103">
        <v>19268</v>
      </c>
      <c r="B83" s="104">
        <v>2.57</v>
      </c>
    </row>
    <row r="84" spans="1:2">
      <c r="A84" s="103">
        <v>19299</v>
      </c>
      <c r="B84" s="104">
        <v>2.57</v>
      </c>
    </row>
    <row r="85" spans="1:2">
      <c r="A85" s="103">
        <v>19329</v>
      </c>
      <c r="B85" s="104">
        <v>2.57</v>
      </c>
    </row>
    <row r="86" spans="1:2">
      <c r="A86" s="103">
        <v>19360</v>
      </c>
      <c r="B86" s="104">
        <v>2.57</v>
      </c>
    </row>
    <row r="87" spans="1:2">
      <c r="A87" s="103">
        <v>19391</v>
      </c>
      <c r="B87" s="104">
        <v>2.57</v>
      </c>
    </row>
    <row r="88" spans="1:2">
      <c r="A88" s="103">
        <v>19419</v>
      </c>
      <c r="B88" s="104">
        <v>2.57</v>
      </c>
    </row>
    <row r="89" spans="1:2">
      <c r="A89" s="103">
        <v>19450</v>
      </c>
      <c r="B89" s="104">
        <v>2.57</v>
      </c>
    </row>
    <row r="90" spans="1:2">
      <c r="A90" s="103">
        <v>19480</v>
      </c>
      <c r="B90" s="104">
        <v>2.57</v>
      </c>
    </row>
    <row r="91" spans="1:2">
      <c r="A91" s="103">
        <v>19511</v>
      </c>
      <c r="B91" s="104">
        <v>2.82</v>
      </c>
    </row>
    <row r="92" spans="1:2">
      <c r="A92" s="103">
        <v>19541</v>
      </c>
      <c r="B92" s="104">
        <v>2.82</v>
      </c>
    </row>
    <row r="93" spans="1:2">
      <c r="A93" s="103">
        <v>19572</v>
      </c>
      <c r="B93" s="104">
        <v>2.82</v>
      </c>
    </row>
    <row r="94" spans="1:2">
      <c r="A94" s="103">
        <v>19603</v>
      </c>
      <c r="B94" s="104">
        <v>2.82</v>
      </c>
    </row>
    <row r="95" spans="1:2">
      <c r="A95" s="103">
        <v>19633</v>
      </c>
      <c r="B95" s="104">
        <v>2.82</v>
      </c>
    </row>
    <row r="96" spans="1:2">
      <c r="A96" s="103">
        <v>19664</v>
      </c>
      <c r="B96" s="104">
        <v>2.82</v>
      </c>
    </row>
    <row r="97" spans="1:2">
      <c r="A97" s="103">
        <v>19694</v>
      </c>
      <c r="B97" s="104">
        <v>2.82</v>
      </c>
    </row>
    <row r="98" spans="1:2">
      <c r="A98" s="103">
        <v>19725</v>
      </c>
      <c r="B98" s="104">
        <v>2.82</v>
      </c>
    </row>
    <row r="99" spans="1:2">
      <c r="A99" s="103">
        <v>19756</v>
      </c>
      <c r="B99" s="104">
        <v>2.82</v>
      </c>
    </row>
    <row r="100" spans="1:2">
      <c r="A100" s="103">
        <v>19784</v>
      </c>
      <c r="B100" s="104">
        <v>2.82</v>
      </c>
    </row>
    <row r="101" spans="1:2">
      <c r="A101" s="103">
        <v>19815</v>
      </c>
      <c r="B101" s="104">
        <v>2.82</v>
      </c>
    </row>
    <row r="102" spans="1:2">
      <c r="A102" s="103">
        <v>19845</v>
      </c>
      <c r="B102" s="104">
        <v>2.82</v>
      </c>
    </row>
    <row r="103" spans="1:2">
      <c r="A103" s="103">
        <v>19876</v>
      </c>
      <c r="B103" s="104">
        <v>2.82</v>
      </c>
    </row>
    <row r="104" spans="1:2">
      <c r="A104" s="103">
        <v>19906</v>
      </c>
      <c r="B104" s="104">
        <v>2.82</v>
      </c>
    </row>
    <row r="105" spans="1:2">
      <c r="A105" s="103">
        <v>19937</v>
      </c>
      <c r="B105" s="104">
        <v>2.82</v>
      </c>
    </row>
    <row r="106" spans="1:2">
      <c r="A106" s="103">
        <v>19968</v>
      </c>
      <c r="B106" s="104">
        <v>2.82</v>
      </c>
    </row>
    <row r="107" spans="1:2">
      <c r="A107" s="103">
        <v>19998</v>
      </c>
      <c r="B107" s="104">
        <v>2.82</v>
      </c>
    </row>
    <row r="108" spans="1:2">
      <c r="A108" s="103">
        <v>20029</v>
      </c>
      <c r="B108" s="104">
        <v>2.82</v>
      </c>
    </row>
    <row r="109" spans="1:2">
      <c r="A109" s="103">
        <v>20059</v>
      </c>
      <c r="B109" s="104">
        <v>2.82</v>
      </c>
    </row>
    <row r="110" spans="1:2">
      <c r="A110" s="103">
        <v>20090</v>
      </c>
      <c r="B110" s="104">
        <v>2.82</v>
      </c>
    </row>
    <row r="111" spans="1:2">
      <c r="A111" s="103">
        <v>20121</v>
      </c>
      <c r="B111" s="104">
        <v>2.82</v>
      </c>
    </row>
    <row r="112" spans="1:2">
      <c r="A112" s="103">
        <v>20149</v>
      </c>
      <c r="B112" s="104">
        <v>2.82</v>
      </c>
    </row>
    <row r="113" spans="1:2">
      <c r="A113" s="103">
        <v>20180</v>
      </c>
      <c r="B113" s="104">
        <v>2.82</v>
      </c>
    </row>
    <row r="114" spans="1:2">
      <c r="A114" s="103">
        <v>20210</v>
      </c>
      <c r="B114" s="104">
        <v>2.82</v>
      </c>
    </row>
    <row r="115" spans="1:2">
      <c r="A115" s="103">
        <v>20241</v>
      </c>
      <c r="B115" s="104">
        <v>2.82</v>
      </c>
    </row>
    <row r="116" spans="1:2">
      <c r="A116" s="103">
        <v>20271</v>
      </c>
      <c r="B116" s="104">
        <v>2.82</v>
      </c>
    </row>
    <row r="117" spans="1:2">
      <c r="A117" s="103">
        <v>20302</v>
      </c>
      <c r="B117" s="104">
        <v>2.82</v>
      </c>
    </row>
    <row r="118" spans="1:2">
      <c r="A118" s="103">
        <v>20333</v>
      </c>
      <c r="B118" s="104">
        <v>2.82</v>
      </c>
    </row>
    <row r="119" spans="1:2">
      <c r="A119" s="103">
        <v>20363</v>
      </c>
      <c r="B119" s="104">
        <v>2.82</v>
      </c>
    </row>
    <row r="120" spans="1:2">
      <c r="A120" s="103">
        <v>20394</v>
      </c>
      <c r="B120" s="104">
        <v>2.82</v>
      </c>
    </row>
    <row r="121" spans="1:2">
      <c r="A121" s="103">
        <v>20424</v>
      </c>
      <c r="B121" s="104">
        <v>2.82</v>
      </c>
    </row>
    <row r="122" spans="1:2">
      <c r="A122" s="103">
        <v>20455</v>
      </c>
      <c r="B122" s="104">
        <v>2.82</v>
      </c>
    </row>
    <row r="123" spans="1:2">
      <c r="A123" s="103">
        <v>20486</v>
      </c>
      <c r="B123" s="104">
        <v>2.82</v>
      </c>
    </row>
    <row r="124" spans="1:2">
      <c r="A124" s="103">
        <v>20515</v>
      </c>
      <c r="B124" s="104">
        <v>2.82</v>
      </c>
    </row>
    <row r="125" spans="1:2">
      <c r="A125" s="103">
        <v>20546</v>
      </c>
      <c r="B125" s="104">
        <v>2.82</v>
      </c>
    </row>
    <row r="126" spans="1:2">
      <c r="A126" s="103">
        <v>20576</v>
      </c>
      <c r="B126" s="104">
        <v>2.82</v>
      </c>
    </row>
    <row r="127" spans="1:2">
      <c r="A127" s="103">
        <v>20607</v>
      </c>
      <c r="B127" s="104">
        <v>2.82</v>
      </c>
    </row>
    <row r="128" spans="1:2">
      <c r="A128" s="103">
        <v>20637</v>
      </c>
      <c r="B128" s="104">
        <v>2.82</v>
      </c>
    </row>
    <row r="129" spans="1:2">
      <c r="A129" s="103">
        <v>20668</v>
      </c>
      <c r="B129" s="104">
        <v>2.82</v>
      </c>
    </row>
    <row r="130" spans="1:2">
      <c r="A130" s="103">
        <v>20699</v>
      </c>
      <c r="B130" s="104">
        <v>2.82</v>
      </c>
    </row>
    <row r="131" spans="1:2">
      <c r="A131" s="103">
        <v>20729</v>
      </c>
      <c r="B131" s="104">
        <v>2.82</v>
      </c>
    </row>
    <row r="132" spans="1:2">
      <c r="A132" s="103">
        <v>20760</v>
      </c>
      <c r="B132" s="104">
        <v>2.82</v>
      </c>
    </row>
    <row r="133" spans="1:2">
      <c r="A133" s="103">
        <v>20790</v>
      </c>
      <c r="B133" s="104">
        <v>2.82</v>
      </c>
    </row>
    <row r="134" spans="1:2">
      <c r="A134" s="103">
        <v>20821</v>
      </c>
      <c r="B134" s="104">
        <v>2.82</v>
      </c>
    </row>
    <row r="135" spans="1:2">
      <c r="A135" s="103">
        <v>20852</v>
      </c>
      <c r="B135" s="104">
        <v>3.07</v>
      </c>
    </row>
    <row r="136" spans="1:2">
      <c r="A136" s="103">
        <v>20880</v>
      </c>
      <c r="B136" s="104">
        <v>3.07</v>
      </c>
    </row>
    <row r="137" spans="1:2">
      <c r="A137" s="103">
        <v>20911</v>
      </c>
      <c r="B137" s="104">
        <v>3.07</v>
      </c>
    </row>
    <row r="138" spans="1:2">
      <c r="A138" s="103">
        <v>20941</v>
      </c>
      <c r="B138" s="104">
        <v>3.07</v>
      </c>
    </row>
    <row r="139" spans="1:2">
      <c r="A139" s="103">
        <v>20972</v>
      </c>
      <c r="B139" s="104">
        <v>3.07</v>
      </c>
    </row>
    <row r="140" spans="1:2">
      <c r="A140" s="103">
        <v>21002</v>
      </c>
      <c r="B140" s="104">
        <v>3.07</v>
      </c>
    </row>
    <row r="141" spans="1:2">
      <c r="A141" s="103">
        <v>21033</v>
      </c>
      <c r="B141" s="104">
        <v>3.07</v>
      </c>
    </row>
    <row r="142" spans="1:2">
      <c r="A142" s="103">
        <v>21064</v>
      </c>
      <c r="B142" s="104">
        <v>3.07</v>
      </c>
    </row>
    <row r="143" spans="1:2">
      <c r="A143" s="103">
        <v>21094</v>
      </c>
      <c r="B143" s="104">
        <v>3.07</v>
      </c>
    </row>
    <row r="144" spans="1:2">
      <c r="A144" s="103">
        <v>21125</v>
      </c>
      <c r="B144" s="104">
        <v>3.07</v>
      </c>
    </row>
    <row r="145" spans="1:2">
      <c r="A145" s="103">
        <v>21155</v>
      </c>
      <c r="B145" s="104">
        <v>3</v>
      </c>
    </row>
    <row r="146" spans="1:2">
      <c r="A146" s="103">
        <v>21186</v>
      </c>
      <c r="B146" s="104">
        <v>3.07</v>
      </c>
    </row>
    <row r="147" spans="1:2">
      <c r="A147" s="103">
        <v>21217</v>
      </c>
      <c r="B147" s="104">
        <v>3.07</v>
      </c>
    </row>
    <row r="148" spans="1:2">
      <c r="A148" s="103">
        <v>21245</v>
      </c>
      <c r="B148" s="104">
        <v>3.07</v>
      </c>
    </row>
    <row r="149" spans="1:2">
      <c r="A149" s="103">
        <v>21276</v>
      </c>
      <c r="B149" s="104">
        <v>3.07</v>
      </c>
    </row>
    <row r="150" spans="1:2">
      <c r="A150" s="103">
        <v>21306</v>
      </c>
      <c r="B150" s="104">
        <v>3.07</v>
      </c>
    </row>
    <row r="151" spans="1:2">
      <c r="A151" s="103">
        <v>21337</v>
      </c>
      <c r="B151" s="104">
        <v>3.07</v>
      </c>
    </row>
    <row r="152" spans="1:2">
      <c r="A152" s="103">
        <v>21367</v>
      </c>
      <c r="B152" s="104">
        <v>3.07</v>
      </c>
    </row>
    <row r="153" spans="1:2">
      <c r="A153" s="103">
        <v>21398</v>
      </c>
      <c r="B153" s="104">
        <v>3.07</v>
      </c>
    </row>
    <row r="154" spans="1:2">
      <c r="A154" s="103">
        <v>21429</v>
      </c>
      <c r="B154" s="104">
        <v>3.07</v>
      </c>
    </row>
    <row r="155" spans="1:2">
      <c r="A155" s="103">
        <v>21459</v>
      </c>
      <c r="B155" s="104">
        <v>3.07</v>
      </c>
    </row>
    <row r="156" spans="1:2">
      <c r="A156" s="103">
        <v>21490</v>
      </c>
      <c r="B156" s="104">
        <v>3</v>
      </c>
    </row>
    <row r="157" spans="1:2">
      <c r="A157" s="103">
        <v>21520</v>
      </c>
      <c r="B157" s="104">
        <v>3</v>
      </c>
    </row>
    <row r="158" spans="1:2">
      <c r="A158" s="103">
        <v>21551</v>
      </c>
      <c r="B158" s="104">
        <v>3</v>
      </c>
    </row>
    <row r="159" spans="1:2">
      <c r="A159" s="103">
        <v>21582</v>
      </c>
      <c r="B159" s="104">
        <v>3</v>
      </c>
    </row>
    <row r="160" spans="1:2">
      <c r="A160" s="103">
        <v>21610</v>
      </c>
      <c r="B160" s="104">
        <v>2.97</v>
      </c>
    </row>
    <row r="161" spans="1:2">
      <c r="A161" s="103">
        <v>21641</v>
      </c>
      <c r="B161" s="104">
        <v>2.97</v>
      </c>
    </row>
    <row r="162" spans="1:2">
      <c r="A162" s="103">
        <v>21671</v>
      </c>
      <c r="B162" s="104">
        <v>2.97</v>
      </c>
    </row>
    <row r="163" spans="1:2">
      <c r="A163" s="103">
        <v>21702</v>
      </c>
      <c r="B163" s="104">
        <v>2.97</v>
      </c>
    </row>
    <row r="164" spans="1:2">
      <c r="A164" s="103">
        <v>21732</v>
      </c>
      <c r="B164" s="104">
        <v>2.97</v>
      </c>
    </row>
    <row r="165" spans="1:2">
      <c r="A165" s="103">
        <v>21763</v>
      </c>
      <c r="B165" s="104">
        <v>2.97</v>
      </c>
    </row>
    <row r="166" spans="1:2">
      <c r="A166" s="103">
        <v>21794</v>
      </c>
      <c r="B166" s="104">
        <v>2.97</v>
      </c>
    </row>
    <row r="167" spans="1:2">
      <c r="A167" s="103">
        <v>21824</v>
      </c>
      <c r="B167" s="104">
        <v>2.97</v>
      </c>
    </row>
    <row r="168" spans="1:2">
      <c r="A168" s="103">
        <v>21855</v>
      </c>
      <c r="B168" s="104">
        <v>2.97</v>
      </c>
    </row>
    <row r="169" spans="1:2">
      <c r="A169" s="103">
        <v>21885</v>
      </c>
      <c r="B169" s="104">
        <v>2.97</v>
      </c>
    </row>
    <row r="170" spans="1:2">
      <c r="A170" s="103">
        <v>21916</v>
      </c>
      <c r="B170" s="104">
        <v>2.97</v>
      </c>
    </row>
    <row r="171" spans="1:2">
      <c r="A171" s="103">
        <v>21947</v>
      </c>
      <c r="B171" s="104">
        <v>2.97</v>
      </c>
    </row>
    <row r="172" spans="1:2">
      <c r="A172" s="103">
        <v>21976</v>
      </c>
      <c r="B172" s="104">
        <v>2.97</v>
      </c>
    </row>
    <row r="173" spans="1:2">
      <c r="A173" s="103">
        <v>22007</v>
      </c>
      <c r="B173" s="104">
        <v>2.97</v>
      </c>
    </row>
    <row r="174" spans="1:2">
      <c r="A174" s="103">
        <v>22037</v>
      </c>
      <c r="B174" s="104">
        <v>2.97</v>
      </c>
    </row>
    <row r="175" spans="1:2">
      <c r="A175" s="103">
        <v>22068</v>
      </c>
      <c r="B175" s="104">
        <v>2.97</v>
      </c>
    </row>
    <row r="176" spans="1:2">
      <c r="A176" s="103">
        <v>22098</v>
      </c>
      <c r="B176" s="104">
        <v>2.97</v>
      </c>
    </row>
    <row r="177" spans="1:2">
      <c r="A177" s="103">
        <v>22129</v>
      </c>
      <c r="B177" s="104">
        <v>2.97</v>
      </c>
    </row>
    <row r="178" spans="1:2">
      <c r="A178" s="103">
        <v>22160</v>
      </c>
      <c r="B178" s="104">
        <v>2.97</v>
      </c>
    </row>
    <row r="179" spans="1:2">
      <c r="A179" s="103">
        <v>22190</v>
      </c>
      <c r="B179" s="104">
        <v>2.97</v>
      </c>
    </row>
    <row r="180" spans="1:2">
      <c r="A180" s="103">
        <v>22221</v>
      </c>
      <c r="B180" s="104">
        <v>2.97</v>
      </c>
    </row>
    <row r="181" spans="1:2">
      <c r="A181" s="103">
        <v>22251</v>
      </c>
      <c r="B181" s="104">
        <v>2.97</v>
      </c>
    </row>
    <row r="182" spans="1:2">
      <c r="A182" s="103">
        <v>22282</v>
      </c>
      <c r="B182" s="104">
        <v>2.97</v>
      </c>
    </row>
    <row r="183" spans="1:2">
      <c r="A183" s="103">
        <v>22313</v>
      </c>
      <c r="B183" s="104">
        <v>2.97</v>
      </c>
    </row>
    <row r="184" spans="1:2">
      <c r="A184" s="103">
        <v>22341</v>
      </c>
      <c r="B184" s="104">
        <v>2.97</v>
      </c>
    </row>
    <row r="185" spans="1:2">
      <c r="A185" s="103">
        <v>22372</v>
      </c>
      <c r="B185" s="104">
        <v>2.97</v>
      </c>
    </row>
    <row r="186" spans="1:2">
      <c r="A186" s="103">
        <v>22402</v>
      </c>
      <c r="B186" s="104">
        <v>2.97</v>
      </c>
    </row>
    <row r="187" spans="1:2">
      <c r="A187" s="103">
        <v>22433</v>
      </c>
      <c r="B187" s="104">
        <v>2.97</v>
      </c>
    </row>
    <row r="188" spans="1:2">
      <c r="A188" s="103">
        <v>22463</v>
      </c>
      <c r="B188" s="104">
        <v>2.97</v>
      </c>
    </row>
    <row r="189" spans="1:2">
      <c r="A189" s="103">
        <v>22494</v>
      </c>
      <c r="B189" s="104">
        <v>2.97</v>
      </c>
    </row>
    <row r="190" spans="1:2">
      <c r="A190" s="103">
        <v>22525</v>
      </c>
      <c r="B190" s="104">
        <v>2.97</v>
      </c>
    </row>
    <row r="191" spans="1:2">
      <c r="A191" s="103">
        <v>22555</v>
      </c>
      <c r="B191" s="104">
        <v>2.97</v>
      </c>
    </row>
    <row r="192" spans="1:2">
      <c r="A192" s="103">
        <v>22586</v>
      </c>
      <c r="B192" s="104">
        <v>2.97</v>
      </c>
    </row>
    <row r="193" spans="1:2">
      <c r="A193" s="103">
        <v>22616</v>
      </c>
      <c r="B193" s="104">
        <v>2.97</v>
      </c>
    </row>
    <row r="194" spans="1:2">
      <c r="A194" s="103">
        <v>22647</v>
      </c>
      <c r="B194" s="104">
        <v>2.97</v>
      </c>
    </row>
    <row r="195" spans="1:2">
      <c r="A195" s="103">
        <v>22678</v>
      </c>
      <c r="B195" s="104">
        <v>2.97</v>
      </c>
    </row>
    <row r="196" spans="1:2">
      <c r="A196" s="103">
        <v>22706</v>
      </c>
      <c r="B196" s="104">
        <v>2.97</v>
      </c>
    </row>
    <row r="197" spans="1:2">
      <c r="A197" s="103">
        <v>22737</v>
      </c>
      <c r="B197" s="104">
        <v>2.97</v>
      </c>
    </row>
    <row r="198" spans="1:2">
      <c r="A198" s="103">
        <v>22767</v>
      </c>
      <c r="B198" s="104">
        <v>2.97</v>
      </c>
    </row>
    <row r="199" spans="1:2">
      <c r="A199" s="103">
        <v>22798</v>
      </c>
      <c r="B199" s="104">
        <v>2.97</v>
      </c>
    </row>
    <row r="200" spans="1:2">
      <c r="A200" s="103">
        <v>22828</v>
      </c>
      <c r="B200" s="104">
        <v>2.97</v>
      </c>
    </row>
    <row r="201" spans="1:2">
      <c r="A201" s="103">
        <v>22859</v>
      </c>
      <c r="B201" s="104">
        <v>2.97</v>
      </c>
    </row>
    <row r="202" spans="1:2">
      <c r="A202" s="103">
        <v>22890</v>
      </c>
      <c r="B202" s="104">
        <v>2.97</v>
      </c>
    </row>
    <row r="203" spans="1:2">
      <c r="A203" s="103">
        <v>22920</v>
      </c>
      <c r="B203" s="104">
        <v>2.97</v>
      </c>
    </row>
    <row r="204" spans="1:2">
      <c r="A204" s="103">
        <v>22951</v>
      </c>
      <c r="B204" s="104">
        <v>2.97</v>
      </c>
    </row>
    <row r="205" spans="1:2">
      <c r="A205" s="103">
        <v>22981</v>
      </c>
      <c r="B205" s="104">
        <v>2.97</v>
      </c>
    </row>
    <row r="206" spans="1:2">
      <c r="A206" s="103">
        <v>23012</v>
      </c>
      <c r="B206" s="104">
        <v>2.97</v>
      </c>
    </row>
    <row r="207" spans="1:2">
      <c r="A207" s="103">
        <v>23043</v>
      </c>
      <c r="B207" s="104">
        <v>2.97</v>
      </c>
    </row>
    <row r="208" spans="1:2">
      <c r="A208" s="103">
        <v>23071</v>
      </c>
      <c r="B208" s="104">
        <v>2.97</v>
      </c>
    </row>
    <row r="209" spans="1:2">
      <c r="A209" s="103">
        <v>23102</v>
      </c>
      <c r="B209" s="104">
        <v>2.97</v>
      </c>
    </row>
    <row r="210" spans="1:2">
      <c r="A210" s="103">
        <v>23132</v>
      </c>
      <c r="B210" s="104">
        <v>2.97</v>
      </c>
    </row>
    <row r="211" spans="1:2">
      <c r="A211" s="103">
        <v>23163</v>
      </c>
      <c r="B211" s="104">
        <v>2.97</v>
      </c>
    </row>
    <row r="212" spans="1:2">
      <c r="A212" s="103">
        <v>23193</v>
      </c>
      <c r="B212" s="104">
        <v>2.97</v>
      </c>
    </row>
    <row r="213" spans="1:2">
      <c r="A213" s="103">
        <v>23224</v>
      </c>
      <c r="B213" s="104">
        <v>2.97</v>
      </c>
    </row>
    <row r="214" spans="1:2">
      <c r="A214" s="103">
        <v>23255</v>
      </c>
      <c r="B214" s="104">
        <v>2.97</v>
      </c>
    </row>
    <row r="215" spans="1:2">
      <c r="A215" s="103">
        <v>23285</v>
      </c>
      <c r="B215" s="104">
        <v>2.97</v>
      </c>
    </row>
    <row r="216" spans="1:2">
      <c r="A216" s="103">
        <v>23316</v>
      </c>
      <c r="B216" s="104">
        <v>2.97</v>
      </c>
    </row>
    <row r="217" spans="1:2">
      <c r="A217" s="103">
        <v>23346</v>
      </c>
      <c r="B217" s="104">
        <v>2.97</v>
      </c>
    </row>
    <row r="218" spans="1:2">
      <c r="A218" s="103">
        <v>23377</v>
      </c>
      <c r="B218" s="104">
        <v>2.97</v>
      </c>
    </row>
    <row r="219" spans="1:2">
      <c r="A219" s="103">
        <v>23408</v>
      </c>
      <c r="B219" s="104">
        <v>2.97</v>
      </c>
    </row>
    <row r="220" spans="1:2">
      <c r="A220" s="103">
        <v>23437</v>
      </c>
      <c r="B220" s="104">
        <v>2.97</v>
      </c>
    </row>
    <row r="221" spans="1:2">
      <c r="A221" s="103">
        <v>23468</v>
      </c>
      <c r="B221" s="104">
        <v>2.97</v>
      </c>
    </row>
    <row r="222" spans="1:2">
      <c r="A222" s="103">
        <v>23498</v>
      </c>
      <c r="B222" s="104">
        <v>2.97</v>
      </c>
    </row>
    <row r="223" spans="1:2">
      <c r="A223" s="103">
        <v>23529</v>
      </c>
      <c r="B223" s="104">
        <v>2.97</v>
      </c>
    </row>
    <row r="224" spans="1:2">
      <c r="A224" s="103">
        <v>23559</v>
      </c>
      <c r="B224" s="104">
        <v>2.92</v>
      </c>
    </row>
    <row r="225" spans="1:2">
      <c r="A225" s="103">
        <v>23590</v>
      </c>
      <c r="B225" s="104">
        <v>2.92</v>
      </c>
    </row>
    <row r="226" spans="1:2">
      <c r="A226" s="103">
        <v>23621</v>
      </c>
      <c r="B226" s="104">
        <v>2.92</v>
      </c>
    </row>
    <row r="227" spans="1:2">
      <c r="A227" s="103">
        <v>23651</v>
      </c>
      <c r="B227" s="104">
        <v>2.92</v>
      </c>
    </row>
    <row r="228" spans="1:2">
      <c r="A228" s="103">
        <v>23682</v>
      </c>
      <c r="B228" s="104">
        <v>2.92</v>
      </c>
    </row>
    <row r="229" spans="1:2">
      <c r="A229" s="103">
        <v>23712</v>
      </c>
      <c r="B229" s="104">
        <v>2.92</v>
      </c>
    </row>
    <row r="230" spans="1:2">
      <c r="A230" s="103">
        <v>23743</v>
      </c>
      <c r="B230" s="104">
        <v>2.92</v>
      </c>
    </row>
    <row r="231" spans="1:2">
      <c r="A231" s="103">
        <v>23774</v>
      </c>
      <c r="B231" s="104">
        <v>2.92</v>
      </c>
    </row>
    <row r="232" spans="1:2">
      <c r="A232" s="103">
        <v>23802</v>
      </c>
      <c r="B232" s="104">
        <v>2.92</v>
      </c>
    </row>
    <row r="233" spans="1:2">
      <c r="A233" s="103">
        <v>23833</v>
      </c>
      <c r="B233" s="104">
        <v>2.92</v>
      </c>
    </row>
    <row r="234" spans="1:2">
      <c r="A234" s="103">
        <v>23863</v>
      </c>
      <c r="B234" s="104">
        <v>2.92</v>
      </c>
    </row>
    <row r="235" spans="1:2">
      <c r="A235" s="103">
        <v>23894</v>
      </c>
      <c r="B235" s="104">
        <v>2.92</v>
      </c>
    </row>
    <row r="236" spans="1:2">
      <c r="A236" s="103">
        <v>23924</v>
      </c>
      <c r="B236" s="104">
        <v>2.92</v>
      </c>
    </row>
    <row r="237" spans="1:2">
      <c r="A237" s="103">
        <v>23955</v>
      </c>
      <c r="B237" s="104">
        <v>2.92</v>
      </c>
    </row>
    <row r="238" spans="1:2">
      <c r="A238" s="103">
        <v>23986</v>
      </c>
      <c r="B238" s="104">
        <v>2.92</v>
      </c>
    </row>
    <row r="239" spans="1:2">
      <c r="A239" s="103">
        <v>24016</v>
      </c>
      <c r="B239" s="104">
        <v>2.92</v>
      </c>
    </row>
    <row r="240" spans="1:2">
      <c r="A240" s="103">
        <v>24047</v>
      </c>
      <c r="B240" s="104">
        <v>2.92</v>
      </c>
    </row>
    <row r="241" spans="1:2">
      <c r="A241" s="103">
        <v>24077</v>
      </c>
      <c r="B241" s="104">
        <v>2.92</v>
      </c>
    </row>
    <row r="242" spans="1:2">
      <c r="A242" s="103">
        <v>24108</v>
      </c>
      <c r="B242" s="104">
        <v>2.92</v>
      </c>
    </row>
    <row r="243" spans="1:2">
      <c r="A243" s="103">
        <v>24139</v>
      </c>
      <c r="B243" s="104">
        <v>2.92</v>
      </c>
    </row>
    <row r="244" spans="1:2">
      <c r="A244" s="103">
        <v>24167</v>
      </c>
      <c r="B244" s="104">
        <v>2.92</v>
      </c>
    </row>
    <row r="245" spans="1:2">
      <c r="A245" s="103">
        <v>24198</v>
      </c>
      <c r="B245" s="104">
        <v>2.92</v>
      </c>
    </row>
    <row r="246" spans="1:2">
      <c r="A246" s="103">
        <v>24228</v>
      </c>
      <c r="B246" s="104">
        <v>2.92</v>
      </c>
    </row>
    <row r="247" spans="1:2">
      <c r="A247" s="103">
        <v>24259</v>
      </c>
      <c r="B247" s="104">
        <v>2.92</v>
      </c>
    </row>
    <row r="248" spans="1:2">
      <c r="A248" s="103">
        <v>24289</v>
      </c>
      <c r="B248" s="104">
        <v>2.92</v>
      </c>
    </row>
    <row r="249" spans="1:2">
      <c r="A249" s="103">
        <v>24320</v>
      </c>
      <c r="B249" s="104">
        <v>2.92</v>
      </c>
    </row>
    <row r="250" spans="1:2">
      <c r="A250" s="103">
        <v>24351</v>
      </c>
      <c r="B250" s="104">
        <v>2.97</v>
      </c>
    </row>
    <row r="251" spans="1:2">
      <c r="A251" s="103">
        <v>24381</v>
      </c>
      <c r="B251" s="104">
        <v>2.97</v>
      </c>
    </row>
    <row r="252" spans="1:2">
      <c r="A252" s="103">
        <v>24412</v>
      </c>
      <c r="B252" s="104">
        <v>2.97</v>
      </c>
    </row>
    <row r="253" spans="1:2">
      <c r="A253" s="103">
        <v>24442</v>
      </c>
      <c r="B253" s="104">
        <v>2.97</v>
      </c>
    </row>
    <row r="254" spans="1:2">
      <c r="A254" s="103">
        <v>24473</v>
      </c>
      <c r="B254" s="104">
        <v>2.97</v>
      </c>
    </row>
    <row r="255" spans="1:2">
      <c r="A255" s="103">
        <v>24504</v>
      </c>
      <c r="B255" s="104">
        <v>3</v>
      </c>
    </row>
    <row r="256" spans="1:2">
      <c r="A256" s="103">
        <v>24532</v>
      </c>
      <c r="B256" s="104">
        <v>3</v>
      </c>
    </row>
    <row r="257" spans="1:2">
      <c r="A257" s="103">
        <v>24563</v>
      </c>
      <c r="B257" s="104">
        <v>3</v>
      </c>
    </row>
    <row r="258" spans="1:2">
      <c r="A258" s="103">
        <v>24593</v>
      </c>
      <c r="B258" s="104">
        <v>3</v>
      </c>
    </row>
    <row r="259" spans="1:2">
      <c r="A259" s="103">
        <v>24624</v>
      </c>
      <c r="B259" s="104">
        <v>3</v>
      </c>
    </row>
    <row r="260" spans="1:2">
      <c r="A260" s="103">
        <v>24654</v>
      </c>
      <c r="B260" s="104">
        <v>3</v>
      </c>
    </row>
    <row r="261" spans="1:2">
      <c r="A261" s="103">
        <v>24685</v>
      </c>
      <c r="B261" s="104">
        <v>3.07</v>
      </c>
    </row>
    <row r="262" spans="1:2">
      <c r="A262" s="103">
        <v>24716</v>
      </c>
      <c r="B262" s="104">
        <v>3.07</v>
      </c>
    </row>
    <row r="263" spans="1:2">
      <c r="A263" s="103">
        <v>24746</v>
      </c>
      <c r="B263" s="104">
        <v>3.07</v>
      </c>
    </row>
    <row r="264" spans="1:2">
      <c r="A264" s="103">
        <v>24777</v>
      </c>
      <c r="B264" s="104">
        <v>3.07</v>
      </c>
    </row>
    <row r="265" spans="1:2">
      <c r="A265" s="103">
        <v>24807</v>
      </c>
      <c r="B265" s="104">
        <v>3.07</v>
      </c>
    </row>
    <row r="266" spans="1:2">
      <c r="A266" s="103">
        <v>24838</v>
      </c>
      <c r="B266" s="104">
        <v>3.07</v>
      </c>
    </row>
    <row r="267" spans="1:2">
      <c r="A267" s="103">
        <v>24869</v>
      </c>
      <c r="B267" s="104">
        <v>3.07</v>
      </c>
    </row>
    <row r="268" spans="1:2">
      <c r="A268" s="103">
        <v>24898</v>
      </c>
      <c r="B268" s="104">
        <v>3.07</v>
      </c>
    </row>
    <row r="269" spans="1:2">
      <c r="A269" s="103">
        <v>24929</v>
      </c>
      <c r="B269" s="104">
        <v>3.07</v>
      </c>
    </row>
    <row r="270" spans="1:2">
      <c r="A270" s="103">
        <v>24959</v>
      </c>
      <c r="B270" s="104">
        <v>3.07</v>
      </c>
    </row>
    <row r="271" spans="1:2">
      <c r="A271" s="103">
        <v>24990</v>
      </c>
      <c r="B271" s="104">
        <v>3.07</v>
      </c>
    </row>
    <row r="272" spans="1:2">
      <c r="A272" s="103">
        <v>25020</v>
      </c>
      <c r="B272" s="104">
        <v>3.07</v>
      </c>
    </row>
    <row r="273" spans="1:2">
      <c r="A273" s="103">
        <v>25051</v>
      </c>
      <c r="B273" s="104">
        <v>3.07</v>
      </c>
    </row>
    <row r="274" spans="1:2">
      <c r="A274" s="103">
        <v>25082</v>
      </c>
      <c r="B274" s="104">
        <v>3.07</v>
      </c>
    </row>
    <row r="275" spans="1:2">
      <c r="A275" s="103">
        <v>25112</v>
      </c>
      <c r="B275" s="104">
        <v>3.07</v>
      </c>
    </row>
    <row r="276" spans="1:2">
      <c r="A276" s="103">
        <v>25143</v>
      </c>
      <c r="B276" s="104">
        <v>3.07</v>
      </c>
    </row>
    <row r="277" spans="1:2">
      <c r="A277" s="103">
        <v>25173</v>
      </c>
      <c r="B277" s="104">
        <v>3.07</v>
      </c>
    </row>
    <row r="278" spans="1:2">
      <c r="A278" s="103">
        <v>25204</v>
      </c>
      <c r="B278" s="104">
        <v>3.07</v>
      </c>
    </row>
    <row r="279" spans="1:2">
      <c r="A279" s="103">
        <v>25235</v>
      </c>
      <c r="B279" s="104">
        <v>3.07</v>
      </c>
    </row>
    <row r="280" spans="1:2">
      <c r="A280" s="103">
        <v>25263</v>
      </c>
      <c r="B280" s="104">
        <v>3.25</v>
      </c>
    </row>
    <row r="281" spans="1:2">
      <c r="A281" s="103">
        <v>25294</v>
      </c>
      <c r="B281" s="104">
        <v>3.35</v>
      </c>
    </row>
    <row r="282" spans="1:2">
      <c r="A282" s="103">
        <v>25324</v>
      </c>
      <c r="B282" s="104">
        <v>3.35</v>
      </c>
    </row>
    <row r="283" spans="1:2">
      <c r="A283" s="103">
        <v>25355</v>
      </c>
      <c r="B283" s="104">
        <v>3.35</v>
      </c>
    </row>
    <row r="284" spans="1:2">
      <c r="A284" s="103">
        <v>25385</v>
      </c>
      <c r="B284" s="104">
        <v>3.35</v>
      </c>
    </row>
    <row r="285" spans="1:2">
      <c r="A285" s="103">
        <v>25416</v>
      </c>
      <c r="B285" s="104">
        <v>3.35</v>
      </c>
    </row>
    <row r="286" spans="1:2">
      <c r="A286" s="103">
        <v>25447</v>
      </c>
      <c r="B286" s="104">
        <v>3.35</v>
      </c>
    </row>
    <row r="287" spans="1:2">
      <c r="A287" s="103">
        <v>25477</v>
      </c>
      <c r="B287" s="104">
        <v>3.35</v>
      </c>
    </row>
    <row r="288" spans="1:2">
      <c r="A288" s="103">
        <v>25508</v>
      </c>
      <c r="B288" s="104">
        <v>3.35</v>
      </c>
    </row>
    <row r="289" spans="1:2">
      <c r="A289" s="103">
        <v>25538</v>
      </c>
      <c r="B289" s="104">
        <v>3.35</v>
      </c>
    </row>
    <row r="290" spans="1:2">
      <c r="A290" s="103">
        <v>25569</v>
      </c>
      <c r="B290" s="104">
        <v>3.35</v>
      </c>
    </row>
    <row r="291" spans="1:2">
      <c r="A291" s="103">
        <v>25600</v>
      </c>
      <c r="B291" s="104">
        <v>3.35</v>
      </c>
    </row>
    <row r="292" spans="1:2">
      <c r="A292" s="103">
        <v>25628</v>
      </c>
      <c r="B292" s="104">
        <v>3.35</v>
      </c>
    </row>
    <row r="293" spans="1:2">
      <c r="A293" s="103">
        <v>25659</v>
      </c>
      <c r="B293" s="104">
        <v>3.35</v>
      </c>
    </row>
    <row r="294" spans="1:2">
      <c r="A294" s="103">
        <v>25689</v>
      </c>
      <c r="B294" s="104">
        <v>3.35</v>
      </c>
    </row>
    <row r="295" spans="1:2">
      <c r="A295" s="103">
        <v>25720</v>
      </c>
      <c r="B295" s="104">
        <v>3.35</v>
      </c>
    </row>
    <row r="296" spans="1:2">
      <c r="A296" s="103">
        <v>25750</v>
      </c>
      <c r="B296" s="104">
        <v>3.31</v>
      </c>
    </row>
    <row r="297" spans="1:2">
      <c r="A297" s="103">
        <v>25781</v>
      </c>
      <c r="B297" s="104">
        <v>3.31</v>
      </c>
    </row>
    <row r="298" spans="1:2">
      <c r="A298" s="103">
        <v>25812</v>
      </c>
      <c r="B298" s="104">
        <v>3.31</v>
      </c>
    </row>
    <row r="299" spans="1:2">
      <c r="A299" s="103">
        <v>25842</v>
      </c>
      <c r="B299" s="104">
        <v>3.31</v>
      </c>
    </row>
    <row r="300" spans="1:2">
      <c r="A300" s="103">
        <v>25873</v>
      </c>
      <c r="B300" s="104">
        <v>3.31</v>
      </c>
    </row>
    <row r="301" spans="1:2">
      <c r="A301" s="103">
        <v>25903</v>
      </c>
      <c r="B301" s="104">
        <v>3.56</v>
      </c>
    </row>
    <row r="302" spans="1:2">
      <c r="A302" s="103">
        <v>25934</v>
      </c>
      <c r="B302" s="104">
        <v>3.56</v>
      </c>
    </row>
    <row r="303" spans="1:2">
      <c r="A303" s="103">
        <v>25965</v>
      </c>
      <c r="B303" s="104">
        <v>3.56</v>
      </c>
    </row>
    <row r="304" spans="1:2">
      <c r="A304" s="103">
        <v>25993</v>
      </c>
      <c r="B304" s="104">
        <v>3.56</v>
      </c>
    </row>
    <row r="305" spans="1:2">
      <c r="A305" s="103">
        <v>26024</v>
      </c>
      <c r="B305" s="104">
        <v>3.56</v>
      </c>
    </row>
    <row r="306" spans="1:2">
      <c r="A306" s="103">
        <v>26054</v>
      </c>
      <c r="B306" s="104">
        <v>3.56</v>
      </c>
    </row>
    <row r="307" spans="1:2">
      <c r="A307" s="103">
        <v>26085</v>
      </c>
      <c r="B307" s="104">
        <v>3.56</v>
      </c>
    </row>
    <row r="308" spans="1:2">
      <c r="A308" s="103">
        <v>26115</v>
      </c>
      <c r="B308" s="104">
        <v>3.56</v>
      </c>
    </row>
    <row r="309" spans="1:2">
      <c r="A309" s="103">
        <v>26146</v>
      </c>
      <c r="B309" s="104">
        <v>3.56</v>
      </c>
    </row>
    <row r="310" spans="1:2">
      <c r="A310" s="103">
        <v>26177</v>
      </c>
      <c r="B310" s="104">
        <v>3.56</v>
      </c>
    </row>
    <row r="311" spans="1:2">
      <c r="A311" s="103">
        <v>26207</v>
      </c>
      <c r="B311" s="104">
        <v>3.56</v>
      </c>
    </row>
    <row r="312" spans="1:2">
      <c r="A312" s="103">
        <v>26238</v>
      </c>
      <c r="B312" s="104">
        <v>3.56</v>
      </c>
    </row>
    <row r="313" spans="1:2">
      <c r="A313" s="103">
        <v>26268</v>
      </c>
      <c r="B313" s="104">
        <v>3.56</v>
      </c>
    </row>
    <row r="314" spans="1:2">
      <c r="A314" s="103">
        <v>26299</v>
      </c>
      <c r="B314" s="104">
        <v>3.56</v>
      </c>
    </row>
    <row r="315" spans="1:2">
      <c r="A315" s="103">
        <v>26330</v>
      </c>
      <c r="B315" s="104">
        <v>3.56</v>
      </c>
    </row>
    <row r="316" spans="1:2">
      <c r="A316" s="103">
        <v>26359</v>
      </c>
      <c r="B316" s="104">
        <v>3.56</v>
      </c>
    </row>
    <row r="317" spans="1:2">
      <c r="A317" s="103">
        <v>26390</v>
      </c>
      <c r="B317" s="104">
        <v>3.56</v>
      </c>
    </row>
    <row r="318" spans="1:2">
      <c r="A318" s="103">
        <v>26420</v>
      </c>
      <c r="B318" s="104">
        <v>3.56</v>
      </c>
    </row>
    <row r="319" spans="1:2">
      <c r="A319" s="103">
        <v>26451</v>
      </c>
      <c r="B319" s="104">
        <v>3.56</v>
      </c>
    </row>
    <row r="320" spans="1:2">
      <c r="A320" s="103">
        <v>26481</v>
      </c>
      <c r="B320" s="104">
        <v>3.56</v>
      </c>
    </row>
    <row r="321" spans="1:2">
      <c r="A321" s="103">
        <v>26512</v>
      </c>
      <c r="B321" s="104">
        <v>3.56</v>
      </c>
    </row>
    <row r="322" spans="1:2">
      <c r="A322" s="103">
        <v>26543</v>
      </c>
      <c r="B322" s="104">
        <v>3.56</v>
      </c>
    </row>
    <row r="323" spans="1:2">
      <c r="A323" s="103">
        <v>26573</v>
      </c>
      <c r="B323" s="104">
        <v>3.56</v>
      </c>
    </row>
    <row r="324" spans="1:2">
      <c r="A324" s="103">
        <v>26604</v>
      </c>
      <c r="B324" s="104">
        <v>3.56</v>
      </c>
    </row>
    <row r="325" spans="1:2">
      <c r="A325" s="103">
        <v>26634</v>
      </c>
      <c r="B325" s="104">
        <v>3.56</v>
      </c>
    </row>
    <row r="326" spans="1:2">
      <c r="A326" s="103">
        <v>26665</v>
      </c>
      <c r="B326" s="104">
        <v>3.56</v>
      </c>
    </row>
    <row r="327" spans="1:2">
      <c r="A327" s="103">
        <v>26696</v>
      </c>
      <c r="B327" s="104">
        <v>3.56</v>
      </c>
    </row>
    <row r="328" spans="1:2">
      <c r="A328" s="103">
        <v>26724</v>
      </c>
      <c r="B328" s="104">
        <v>3.56</v>
      </c>
    </row>
    <row r="329" spans="1:2">
      <c r="A329" s="103">
        <v>26755</v>
      </c>
      <c r="B329" s="104">
        <v>3.56</v>
      </c>
    </row>
    <row r="330" spans="1:2">
      <c r="A330" s="103">
        <v>26785</v>
      </c>
      <c r="B330" s="104">
        <v>3.56</v>
      </c>
    </row>
    <row r="331" spans="1:2">
      <c r="A331" s="103">
        <v>26816</v>
      </c>
      <c r="B331" s="104">
        <v>3.56</v>
      </c>
    </row>
    <row r="332" spans="1:2">
      <c r="A332" s="103">
        <v>26846</v>
      </c>
      <c r="B332" s="104">
        <v>3.56</v>
      </c>
    </row>
    <row r="333" spans="1:2">
      <c r="A333" s="103">
        <v>26877</v>
      </c>
      <c r="B333" s="104">
        <v>4.3099999999999996</v>
      </c>
    </row>
    <row r="334" spans="1:2">
      <c r="A334" s="103">
        <v>26908</v>
      </c>
      <c r="B334" s="104">
        <v>4.3099999999999996</v>
      </c>
    </row>
    <row r="335" spans="1:2">
      <c r="A335" s="103">
        <v>26938</v>
      </c>
      <c r="B335" s="104">
        <v>4.3099999999999996</v>
      </c>
    </row>
    <row r="336" spans="1:2">
      <c r="A336" s="103">
        <v>26969</v>
      </c>
      <c r="B336" s="104">
        <v>4.3099999999999996</v>
      </c>
    </row>
    <row r="337" spans="1:2">
      <c r="A337" s="103">
        <v>26999</v>
      </c>
      <c r="B337" s="104">
        <v>4.3099999999999996</v>
      </c>
    </row>
    <row r="338" spans="1:2">
      <c r="A338" s="103">
        <v>27030</v>
      </c>
      <c r="B338" s="104">
        <v>10.11</v>
      </c>
    </row>
    <row r="339" spans="1:2">
      <c r="A339" s="103">
        <v>27061</v>
      </c>
      <c r="B339" s="104">
        <v>10.11</v>
      </c>
    </row>
    <row r="340" spans="1:2">
      <c r="A340" s="103">
        <v>27089</v>
      </c>
      <c r="B340" s="104">
        <v>10.11</v>
      </c>
    </row>
    <row r="341" spans="1:2">
      <c r="A341" s="103">
        <v>27120</v>
      </c>
      <c r="B341" s="104">
        <v>10.11</v>
      </c>
    </row>
    <row r="342" spans="1:2">
      <c r="A342" s="103">
        <v>27150</v>
      </c>
      <c r="B342" s="104">
        <v>10.11</v>
      </c>
    </row>
    <row r="343" spans="1:2">
      <c r="A343" s="103">
        <v>27181</v>
      </c>
      <c r="B343" s="104">
        <v>10.11</v>
      </c>
    </row>
    <row r="344" spans="1:2">
      <c r="A344" s="103">
        <v>27211</v>
      </c>
      <c r="B344" s="104">
        <v>10.11</v>
      </c>
    </row>
    <row r="345" spans="1:2">
      <c r="A345" s="103">
        <v>27242</v>
      </c>
      <c r="B345" s="104">
        <v>10.11</v>
      </c>
    </row>
    <row r="346" spans="1:2">
      <c r="A346" s="103">
        <v>27273</v>
      </c>
      <c r="B346" s="104">
        <v>10.11</v>
      </c>
    </row>
    <row r="347" spans="1:2">
      <c r="A347" s="103">
        <v>27303</v>
      </c>
      <c r="B347" s="104">
        <v>11.16</v>
      </c>
    </row>
    <row r="348" spans="1:2">
      <c r="A348" s="103">
        <v>27334</v>
      </c>
      <c r="B348" s="104">
        <v>11.16</v>
      </c>
    </row>
    <row r="349" spans="1:2">
      <c r="A349" s="103">
        <v>27364</v>
      </c>
      <c r="B349" s="104">
        <v>11.16</v>
      </c>
    </row>
    <row r="350" spans="1:2">
      <c r="A350" s="103">
        <v>27395</v>
      </c>
      <c r="B350" s="104">
        <v>11.16</v>
      </c>
    </row>
    <row r="351" spans="1:2">
      <c r="A351" s="103">
        <v>27426</v>
      </c>
      <c r="B351" s="104">
        <v>11.16</v>
      </c>
    </row>
    <row r="352" spans="1:2">
      <c r="A352" s="103">
        <v>27454</v>
      </c>
      <c r="B352" s="104">
        <v>11.16</v>
      </c>
    </row>
    <row r="353" spans="1:2">
      <c r="A353" s="103">
        <v>27485</v>
      </c>
      <c r="B353" s="104">
        <v>11.16</v>
      </c>
    </row>
    <row r="354" spans="1:2">
      <c r="A354" s="103">
        <v>27515</v>
      </c>
      <c r="B354" s="104">
        <v>11.16</v>
      </c>
    </row>
    <row r="355" spans="1:2">
      <c r="A355" s="103">
        <v>27546</v>
      </c>
      <c r="B355" s="104">
        <v>11.16</v>
      </c>
    </row>
    <row r="356" spans="1:2">
      <c r="A356" s="103">
        <v>27576</v>
      </c>
      <c r="B356" s="104">
        <v>11.16</v>
      </c>
    </row>
    <row r="357" spans="1:2">
      <c r="A357" s="103">
        <v>27607</v>
      </c>
      <c r="B357" s="104">
        <v>11.16</v>
      </c>
    </row>
    <row r="358" spans="1:2">
      <c r="A358" s="103">
        <v>27638</v>
      </c>
      <c r="B358" s="104">
        <v>11.16</v>
      </c>
    </row>
    <row r="359" spans="1:2">
      <c r="A359" s="103">
        <v>27668</v>
      </c>
      <c r="B359" s="104">
        <v>11.16</v>
      </c>
    </row>
    <row r="360" spans="1:2">
      <c r="A360" s="103">
        <v>27699</v>
      </c>
      <c r="B360" s="104">
        <v>11.16</v>
      </c>
    </row>
    <row r="361" spans="1:2">
      <c r="A361" s="103">
        <v>27729</v>
      </c>
      <c r="B361" s="104">
        <v>11.16</v>
      </c>
    </row>
    <row r="362" spans="1:2">
      <c r="A362" s="103">
        <v>27760</v>
      </c>
      <c r="B362" s="104">
        <v>11.16</v>
      </c>
    </row>
    <row r="363" spans="1:2">
      <c r="A363" s="103">
        <v>27791</v>
      </c>
      <c r="B363" s="104">
        <v>12.03</v>
      </c>
    </row>
    <row r="364" spans="1:2">
      <c r="A364" s="103">
        <v>27820</v>
      </c>
      <c r="B364" s="104">
        <v>12.1</v>
      </c>
    </row>
    <row r="365" spans="1:2">
      <c r="A365" s="103">
        <v>27851</v>
      </c>
      <c r="B365" s="104">
        <v>12.17</v>
      </c>
    </row>
    <row r="366" spans="1:2">
      <c r="A366" s="103">
        <v>27881</v>
      </c>
      <c r="B366" s="104">
        <v>12.17</v>
      </c>
    </row>
    <row r="367" spans="1:2">
      <c r="A367" s="103">
        <v>27912</v>
      </c>
      <c r="B367" s="104">
        <v>12.17</v>
      </c>
    </row>
    <row r="368" spans="1:2">
      <c r="A368" s="103">
        <v>27942</v>
      </c>
      <c r="B368" s="104">
        <v>12.17</v>
      </c>
    </row>
    <row r="369" spans="1:2">
      <c r="A369" s="103">
        <v>27973</v>
      </c>
      <c r="B369" s="104">
        <v>12.17</v>
      </c>
    </row>
    <row r="370" spans="1:2">
      <c r="A370" s="103">
        <v>28004</v>
      </c>
      <c r="B370" s="104">
        <v>13.9</v>
      </c>
    </row>
    <row r="371" spans="1:2">
      <c r="A371" s="103">
        <v>28034</v>
      </c>
      <c r="B371" s="104">
        <v>13.9</v>
      </c>
    </row>
    <row r="372" spans="1:2">
      <c r="A372" s="103">
        <v>28065</v>
      </c>
      <c r="B372" s="104">
        <v>13.9</v>
      </c>
    </row>
    <row r="373" spans="1:2">
      <c r="A373" s="103">
        <v>28095</v>
      </c>
      <c r="B373" s="104">
        <v>13.9</v>
      </c>
    </row>
    <row r="374" spans="1:2">
      <c r="A374" s="103">
        <v>28126</v>
      </c>
      <c r="B374" s="104">
        <v>13.9</v>
      </c>
    </row>
    <row r="375" spans="1:2">
      <c r="A375" s="103">
        <v>28157</v>
      </c>
      <c r="B375" s="104">
        <v>13.9</v>
      </c>
    </row>
    <row r="376" spans="1:2">
      <c r="A376" s="103">
        <v>28185</v>
      </c>
      <c r="B376" s="104">
        <v>13.9</v>
      </c>
    </row>
    <row r="377" spans="1:2">
      <c r="A377" s="103">
        <v>28216</v>
      </c>
      <c r="B377" s="104">
        <v>13.9</v>
      </c>
    </row>
    <row r="378" spans="1:2">
      <c r="A378" s="103">
        <v>28246</v>
      </c>
      <c r="B378" s="104">
        <v>13.9</v>
      </c>
    </row>
    <row r="379" spans="1:2">
      <c r="A379" s="103">
        <v>28277</v>
      </c>
      <c r="B379" s="104">
        <v>13.9</v>
      </c>
    </row>
    <row r="380" spans="1:2">
      <c r="A380" s="103">
        <v>28307</v>
      </c>
      <c r="B380" s="104">
        <v>13.9</v>
      </c>
    </row>
    <row r="381" spans="1:2">
      <c r="A381" s="103">
        <v>28338</v>
      </c>
      <c r="B381" s="104">
        <v>14.85</v>
      </c>
    </row>
    <row r="382" spans="1:2">
      <c r="A382" s="103">
        <v>28369</v>
      </c>
      <c r="B382" s="104">
        <v>14.85</v>
      </c>
    </row>
    <row r="383" spans="1:2">
      <c r="A383" s="103">
        <v>28399</v>
      </c>
      <c r="B383" s="104">
        <v>14.85</v>
      </c>
    </row>
    <row r="384" spans="1:2">
      <c r="A384" s="103">
        <v>28430</v>
      </c>
      <c r="B384" s="104">
        <v>14.85</v>
      </c>
    </row>
    <row r="385" spans="1:2">
      <c r="A385" s="103">
        <v>28460</v>
      </c>
      <c r="B385" s="104">
        <v>14.85</v>
      </c>
    </row>
    <row r="386" spans="1:2">
      <c r="A386" s="103">
        <v>28491</v>
      </c>
      <c r="B386" s="104">
        <v>14.85</v>
      </c>
    </row>
    <row r="387" spans="1:2">
      <c r="A387" s="103">
        <v>28522</v>
      </c>
      <c r="B387" s="104">
        <v>14.85</v>
      </c>
    </row>
    <row r="388" spans="1:2">
      <c r="A388" s="103">
        <v>28550</v>
      </c>
      <c r="B388" s="104">
        <v>14.85</v>
      </c>
    </row>
    <row r="389" spans="1:2">
      <c r="A389" s="103">
        <v>28581</v>
      </c>
      <c r="B389" s="104">
        <v>14.85</v>
      </c>
    </row>
    <row r="390" spans="1:2">
      <c r="A390" s="103">
        <v>28611</v>
      </c>
      <c r="B390" s="104">
        <v>14.85</v>
      </c>
    </row>
    <row r="391" spans="1:2">
      <c r="A391" s="103">
        <v>28642</v>
      </c>
      <c r="B391" s="104">
        <v>14.85</v>
      </c>
    </row>
    <row r="392" spans="1:2">
      <c r="A392" s="103">
        <v>28672</v>
      </c>
      <c r="B392" s="104">
        <v>14.85</v>
      </c>
    </row>
    <row r="393" spans="1:2">
      <c r="A393" s="103">
        <v>28703</v>
      </c>
      <c r="B393" s="104">
        <v>14.85</v>
      </c>
    </row>
    <row r="394" spans="1:2">
      <c r="A394" s="103">
        <v>28734</v>
      </c>
      <c r="B394" s="104">
        <v>14.85</v>
      </c>
    </row>
    <row r="395" spans="1:2">
      <c r="A395" s="103">
        <v>28764</v>
      </c>
      <c r="B395" s="104">
        <v>14.85</v>
      </c>
    </row>
    <row r="396" spans="1:2">
      <c r="A396" s="103">
        <v>28795</v>
      </c>
      <c r="B396" s="104">
        <v>14.85</v>
      </c>
    </row>
    <row r="397" spans="1:2">
      <c r="A397" s="103">
        <v>28825</v>
      </c>
      <c r="B397" s="104">
        <v>14.85</v>
      </c>
    </row>
    <row r="398" spans="1:2">
      <c r="A398" s="103">
        <v>28856</v>
      </c>
      <c r="B398" s="104">
        <v>14.85</v>
      </c>
    </row>
    <row r="399" spans="1:2">
      <c r="A399" s="103">
        <v>28887</v>
      </c>
      <c r="B399" s="104">
        <v>15.85</v>
      </c>
    </row>
    <row r="400" spans="1:2">
      <c r="A400" s="103">
        <v>28915</v>
      </c>
      <c r="B400" s="104">
        <v>15.85</v>
      </c>
    </row>
    <row r="401" spans="1:2">
      <c r="A401" s="103">
        <v>28946</v>
      </c>
      <c r="B401" s="104">
        <v>15.85</v>
      </c>
    </row>
    <row r="402" spans="1:2">
      <c r="A402" s="103">
        <v>28976</v>
      </c>
      <c r="B402" s="104">
        <v>18.100000000000001</v>
      </c>
    </row>
    <row r="403" spans="1:2">
      <c r="A403" s="103">
        <v>29007</v>
      </c>
      <c r="B403" s="104">
        <v>19.100000000000001</v>
      </c>
    </row>
    <row r="404" spans="1:2">
      <c r="A404" s="103">
        <v>29037</v>
      </c>
      <c r="B404" s="104">
        <v>21.75</v>
      </c>
    </row>
    <row r="405" spans="1:2">
      <c r="A405" s="103">
        <v>29068</v>
      </c>
      <c r="B405" s="104">
        <v>26.5</v>
      </c>
    </row>
    <row r="406" spans="1:2">
      <c r="A406" s="103">
        <v>29099</v>
      </c>
      <c r="B406" s="104">
        <v>28.5</v>
      </c>
    </row>
    <row r="407" spans="1:2">
      <c r="A407" s="103">
        <v>29129</v>
      </c>
      <c r="B407" s="104">
        <v>29</v>
      </c>
    </row>
    <row r="408" spans="1:2">
      <c r="A408" s="103">
        <v>29160</v>
      </c>
      <c r="B408" s="104">
        <v>31</v>
      </c>
    </row>
    <row r="409" spans="1:2">
      <c r="A409" s="103">
        <v>29190</v>
      </c>
      <c r="B409" s="104">
        <v>32.5</v>
      </c>
    </row>
    <row r="410" spans="1:2">
      <c r="A410" s="103">
        <v>29221</v>
      </c>
      <c r="B410" s="104">
        <v>32.5</v>
      </c>
    </row>
    <row r="411" spans="1:2">
      <c r="A411" s="103">
        <v>29252</v>
      </c>
      <c r="B411" s="104">
        <v>37</v>
      </c>
    </row>
    <row r="412" spans="1:2">
      <c r="A412" s="103">
        <v>29281</v>
      </c>
      <c r="B412" s="104">
        <v>38</v>
      </c>
    </row>
    <row r="413" spans="1:2">
      <c r="A413" s="103">
        <v>29312</v>
      </c>
      <c r="B413" s="104">
        <v>39.5</v>
      </c>
    </row>
    <row r="414" spans="1:2">
      <c r="A414" s="103">
        <v>29342</v>
      </c>
      <c r="B414" s="104">
        <v>39.5</v>
      </c>
    </row>
    <row r="415" spans="1:2">
      <c r="A415" s="103">
        <v>29373</v>
      </c>
      <c r="B415" s="104">
        <v>39.5</v>
      </c>
    </row>
    <row r="416" spans="1:2">
      <c r="A416" s="103">
        <v>29403</v>
      </c>
      <c r="B416" s="104">
        <v>39.5</v>
      </c>
    </row>
    <row r="417" spans="1:2">
      <c r="A417" s="103">
        <v>29434</v>
      </c>
      <c r="B417" s="104">
        <v>38</v>
      </c>
    </row>
    <row r="418" spans="1:2">
      <c r="A418" s="103">
        <v>29465</v>
      </c>
      <c r="B418" s="104">
        <v>36</v>
      </c>
    </row>
    <row r="419" spans="1:2">
      <c r="A419" s="103">
        <v>29495</v>
      </c>
      <c r="B419" s="104">
        <v>36</v>
      </c>
    </row>
    <row r="420" spans="1:2">
      <c r="A420" s="103">
        <v>29526</v>
      </c>
      <c r="B420" s="104">
        <v>36</v>
      </c>
    </row>
    <row r="421" spans="1:2">
      <c r="A421" s="103">
        <v>29556</v>
      </c>
      <c r="B421" s="104">
        <v>37</v>
      </c>
    </row>
    <row r="422" spans="1:2">
      <c r="A422" s="103">
        <v>29587</v>
      </c>
      <c r="B422" s="104">
        <v>38</v>
      </c>
    </row>
    <row r="423" spans="1:2">
      <c r="A423" s="103">
        <v>29618</v>
      </c>
      <c r="B423" s="104">
        <v>38</v>
      </c>
    </row>
    <row r="424" spans="1:2">
      <c r="A424" s="103">
        <v>29646</v>
      </c>
      <c r="B424" s="104">
        <v>38</v>
      </c>
    </row>
    <row r="425" spans="1:2">
      <c r="A425" s="103">
        <v>29677</v>
      </c>
      <c r="B425" s="104">
        <v>38</v>
      </c>
    </row>
    <row r="426" spans="1:2">
      <c r="A426" s="103">
        <v>29707</v>
      </c>
      <c r="B426" s="104">
        <v>38</v>
      </c>
    </row>
    <row r="427" spans="1:2">
      <c r="A427" s="103">
        <v>29738</v>
      </c>
      <c r="B427" s="104">
        <v>36</v>
      </c>
    </row>
    <row r="428" spans="1:2">
      <c r="A428" s="103">
        <v>29768</v>
      </c>
      <c r="B428" s="104">
        <v>36</v>
      </c>
    </row>
    <row r="429" spans="1:2">
      <c r="A429" s="103">
        <v>29799</v>
      </c>
      <c r="B429" s="104">
        <v>36</v>
      </c>
    </row>
    <row r="430" spans="1:2">
      <c r="A430" s="103">
        <v>29830</v>
      </c>
      <c r="B430" s="104">
        <v>36</v>
      </c>
    </row>
    <row r="431" spans="1:2">
      <c r="A431" s="103">
        <v>29860</v>
      </c>
      <c r="B431" s="104">
        <v>35</v>
      </c>
    </row>
    <row r="432" spans="1:2">
      <c r="A432" s="103">
        <v>29891</v>
      </c>
      <c r="B432" s="104">
        <v>36</v>
      </c>
    </row>
    <row r="433" spans="1:2">
      <c r="A433" s="103">
        <v>29921</v>
      </c>
      <c r="B433" s="104">
        <v>35</v>
      </c>
    </row>
    <row r="434" spans="1:2">
      <c r="A434" s="103">
        <v>29952</v>
      </c>
      <c r="B434" s="104">
        <v>33.85</v>
      </c>
    </row>
    <row r="435" spans="1:2">
      <c r="A435" s="103">
        <v>29983</v>
      </c>
      <c r="B435" s="104">
        <v>31.56</v>
      </c>
    </row>
    <row r="436" spans="1:2">
      <c r="A436" s="103">
        <v>30011</v>
      </c>
      <c r="B436" s="104">
        <v>28.48</v>
      </c>
    </row>
    <row r="437" spans="1:2">
      <c r="A437" s="103">
        <v>30042</v>
      </c>
      <c r="B437" s="104">
        <v>33.450000000000003</v>
      </c>
    </row>
    <row r="438" spans="1:2">
      <c r="A438" s="103">
        <v>30072</v>
      </c>
      <c r="B438" s="104">
        <v>35.93</v>
      </c>
    </row>
    <row r="439" spans="1:2">
      <c r="A439" s="103">
        <v>30103</v>
      </c>
      <c r="B439" s="104">
        <v>35.07</v>
      </c>
    </row>
    <row r="440" spans="1:2">
      <c r="A440" s="103">
        <v>30133</v>
      </c>
      <c r="B440" s="104">
        <v>34.159999999999997</v>
      </c>
    </row>
    <row r="441" spans="1:2">
      <c r="A441" s="103">
        <v>30164</v>
      </c>
      <c r="B441" s="104">
        <v>33.950000000000003</v>
      </c>
    </row>
    <row r="442" spans="1:2">
      <c r="A442" s="103">
        <v>30195</v>
      </c>
      <c r="B442" s="104">
        <v>35.630000000000003</v>
      </c>
    </row>
    <row r="443" spans="1:2">
      <c r="A443" s="103">
        <v>30225</v>
      </c>
      <c r="B443" s="104">
        <v>35.68</v>
      </c>
    </row>
    <row r="444" spans="1:2">
      <c r="A444" s="103">
        <v>30256</v>
      </c>
      <c r="B444" s="104">
        <v>34.15</v>
      </c>
    </row>
    <row r="445" spans="1:2">
      <c r="A445" s="103">
        <v>30286</v>
      </c>
      <c r="B445" s="104">
        <v>31.72</v>
      </c>
    </row>
    <row r="446" spans="1:2">
      <c r="A446" s="103">
        <v>30317</v>
      </c>
      <c r="B446" s="104">
        <v>31.19</v>
      </c>
    </row>
    <row r="447" spans="1:2">
      <c r="A447" s="103">
        <v>30348</v>
      </c>
      <c r="B447" s="104">
        <v>28.95</v>
      </c>
    </row>
    <row r="448" spans="1:2">
      <c r="A448" s="103">
        <v>30376</v>
      </c>
      <c r="B448" s="104">
        <v>28.82</v>
      </c>
    </row>
    <row r="449" spans="1:2">
      <c r="A449" s="103">
        <v>30407</v>
      </c>
      <c r="B449" s="104">
        <v>30.61</v>
      </c>
    </row>
    <row r="450" spans="1:2">
      <c r="A450" s="103">
        <v>30437</v>
      </c>
      <c r="B450" s="104">
        <v>30</v>
      </c>
    </row>
    <row r="451" spans="1:2">
      <c r="A451" s="103">
        <v>30468</v>
      </c>
      <c r="B451" s="104">
        <v>31</v>
      </c>
    </row>
    <row r="452" spans="1:2">
      <c r="A452" s="103">
        <v>30498</v>
      </c>
      <c r="B452" s="104">
        <v>31.66</v>
      </c>
    </row>
    <row r="453" spans="1:2">
      <c r="A453" s="103">
        <v>30529</v>
      </c>
      <c r="B453" s="104">
        <v>31.91</v>
      </c>
    </row>
    <row r="454" spans="1:2">
      <c r="A454" s="103">
        <v>30560</v>
      </c>
      <c r="B454" s="104">
        <v>31.11</v>
      </c>
    </row>
    <row r="455" spans="1:2">
      <c r="A455" s="103">
        <v>30590</v>
      </c>
      <c r="B455" s="104">
        <v>30.41</v>
      </c>
    </row>
    <row r="456" spans="1:2">
      <c r="A456" s="103">
        <v>30621</v>
      </c>
      <c r="B456" s="104">
        <v>29.84</v>
      </c>
    </row>
    <row r="457" spans="1:2">
      <c r="A457" s="103">
        <v>30651</v>
      </c>
      <c r="B457" s="104">
        <v>29.24</v>
      </c>
    </row>
    <row r="458" spans="1:2">
      <c r="A458" s="103">
        <v>30682</v>
      </c>
      <c r="B458" s="104">
        <v>29.69</v>
      </c>
    </row>
    <row r="459" spans="1:2">
      <c r="A459" s="103">
        <v>30713</v>
      </c>
      <c r="B459" s="104">
        <v>30.145</v>
      </c>
    </row>
    <row r="460" spans="1:2">
      <c r="A460" s="103">
        <v>30742</v>
      </c>
      <c r="B460" s="104">
        <v>30.760999999999999</v>
      </c>
    </row>
    <row r="461" spans="1:2">
      <c r="A461" s="103">
        <v>30773</v>
      </c>
      <c r="B461" s="104">
        <v>30.617999999999999</v>
      </c>
    </row>
    <row r="462" spans="1:2">
      <c r="A462" s="103">
        <v>30803</v>
      </c>
      <c r="B462" s="104">
        <v>30.52</v>
      </c>
    </row>
    <row r="463" spans="1:2">
      <c r="A463" s="103">
        <v>30834</v>
      </c>
      <c r="B463" s="104">
        <v>29.966999999999999</v>
      </c>
    </row>
    <row r="464" spans="1:2">
      <c r="A464" s="103">
        <v>30864</v>
      </c>
      <c r="B464" s="104">
        <v>28.751999999999999</v>
      </c>
    </row>
    <row r="465" spans="1:2">
      <c r="A465" s="103">
        <v>30895</v>
      </c>
      <c r="B465" s="104">
        <v>29.25</v>
      </c>
    </row>
    <row r="466" spans="1:2">
      <c r="A466" s="103">
        <v>30926</v>
      </c>
      <c r="B466" s="104">
        <v>29.311</v>
      </c>
    </row>
    <row r="467" spans="1:2">
      <c r="A467" s="103">
        <v>30956</v>
      </c>
      <c r="B467" s="104">
        <v>28.765000000000001</v>
      </c>
    </row>
    <row r="468" spans="1:2">
      <c r="A468" s="103">
        <v>30987</v>
      </c>
      <c r="B468" s="104">
        <v>28.097999999999999</v>
      </c>
    </row>
    <row r="469" spans="1:2">
      <c r="A469" s="103">
        <v>31017</v>
      </c>
      <c r="B469" s="104">
        <v>25.428999999999998</v>
      </c>
    </row>
    <row r="470" spans="1:2">
      <c r="A470" s="103">
        <v>31048</v>
      </c>
      <c r="B470" s="104">
        <v>25.640999999999998</v>
      </c>
    </row>
    <row r="471" spans="1:2">
      <c r="A471" s="103">
        <v>31079</v>
      </c>
      <c r="B471" s="104">
        <v>27.271000000000001</v>
      </c>
    </row>
    <row r="472" spans="1:2">
      <c r="A472" s="103">
        <v>31107</v>
      </c>
      <c r="B472" s="104">
        <v>28.238</v>
      </c>
    </row>
    <row r="473" spans="1:2">
      <c r="A473" s="103">
        <v>31138</v>
      </c>
      <c r="B473" s="104">
        <v>28.805</v>
      </c>
    </row>
    <row r="474" spans="1:2">
      <c r="A474" s="103">
        <v>31168</v>
      </c>
      <c r="B474" s="104">
        <v>27.623000000000001</v>
      </c>
    </row>
    <row r="475" spans="1:2">
      <c r="A475" s="103">
        <v>31199</v>
      </c>
      <c r="B475" s="104">
        <v>27.143000000000001</v>
      </c>
    </row>
    <row r="476" spans="1:2">
      <c r="A476" s="103">
        <v>31229</v>
      </c>
      <c r="B476" s="104">
        <v>27.329000000000001</v>
      </c>
    </row>
    <row r="477" spans="1:2">
      <c r="A477" s="103">
        <v>31260</v>
      </c>
      <c r="B477" s="104">
        <v>27.754999999999999</v>
      </c>
    </row>
    <row r="478" spans="1:2">
      <c r="A478" s="103">
        <v>31291</v>
      </c>
      <c r="B478" s="104">
        <v>28.289000000000001</v>
      </c>
    </row>
    <row r="479" spans="1:2">
      <c r="A479" s="103">
        <v>31321</v>
      </c>
      <c r="B479" s="104">
        <v>29.538</v>
      </c>
    </row>
    <row r="480" spans="1:2">
      <c r="A480" s="103">
        <v>31352</v>
      </c>
      <c r="B480" s="104">
        <v>30.812999999999999</v>
      </c>
    </row>
    <row r="481" spans="1:2">
      <c r="A481" s="103">
        <v>31382</v>
      </c>
      <c r="B481" s="104">
        <v>27.228000000000002</v>
      </c>
    </row>
    <row r="482" spans="1:2">
      <c r="A482" s="103">
        <v>31413</v>
      </c>
      <c r="B482" s="104">
        <v>22.945</v>
      </c>
    </row>
    <row r="483" spans="1:2">
      <c r="A483" s="103">
        <v>31444</v>
      </c>
      <c r="B483" s="104">
        <v>15.442</v>
      </c>
    </row>
    <row r="484" spans="1:2">
      <c r="A484" s="103">
        <v>31472</v>
      </c>
      <c r="B484" s="104">
        <v>12.618</v>
      </c>
    </row>
    <row r="485" spans="1:2">
      <c r="A485" s="103">
        <v>31503</v>
      </c>
      <c r="B485" s="104">
        <v>12.847</v>
      </c>
    </row>
    <row r="486" spans="1:2">
      <c r="A486" s="103">
        <v>31533</v>
      </c>
      <c r="B486" s="104">
        <v>15.444000000000001</v>
      </c>
    </row>
    <row r="487" spans="1:2">
      <c r="A487" s="103">
        <v>31564</v>
      </c>
      <c r="B487" s="104">
        <v>13.468999999999999</v>
      </c>
    </row>
    <row r="488" spans="1:2">
      <c r="A488" s="103">
        <v>31594</v>
      </c>
      <c r="B488" s="104">
        <v>11.574999999999999</v>
      </c>
    </row>
    <row r="489" spans="1:2">
      <c r="A489" s="103">
        <v>31625</v>
      </c>
      <c r="B489" s="104">
        <v>15.092000000000001</v>
      </c>
    </row>
    <row r="490" spans="1:2">
      <c r="A490" s="103">
        <v>31656</v>
      </c>
      <c r="B490" s="104">
        <v>14.913</v>
      </c>
    </row>
    <row r="491" spans="1:2">
      <c r="A491" s="103">
        <v>31686</v>
      </c>
      <c r="B491" s="104">
        <v>14.852</v>
      </c>
    </row>
    <row r="492" spans="1:2">
      <c r="A492" s="103">
        <v>31717</v>
      </c>
      <c r="B492" s="104">
        <v>15.207000000000001</v>
      </c>
    </row>
    <row r="493" spans="1:2">
      <c r="A493" s="103">
        <v>31747</v>
      </c>
      <c r="B493" s="104">
        <v>16.076000000000001</v>
      </c>
    </row>
    <row r="494" spans="1:2">
      <c r="A494" s="103">
        <v>31778</v>
      </c>
      <c r="B494" s="104">
        <v>18.655999999999999</v>
      </c>
    </row>
    <row r="495" spans="1:2">
      <c r="A495" s="103">
        <v>31809</v>
      </c>
      <c r="B495" s="104">
        <v>17.725999999999999</v>
      </c>
    </row>
    <row r="496" spans="1:2">
      <c r="A496" s="103">
        <v>31837</v>
      </c>
      <c r="B496" s="104">
        <v>18.305</v>
      </c>
    </row>
    <row r="497" spans="1:2">
      <c r="A497" s="103">
        <v>31868</v>
      </c>
      <c r="B497" s="104">
        <v>18.643000000000001</v>
      </c>
    </row>
    <row r="498" spans="1:2">
      <c r="A498" s="103">
        <v>31898</v>
      </c>
      <c r="B498" s="104">
        <v>19.414999999999999</v>
      </c>
    </row>
    <row r="499" spans="1:2">
      <c r="A499" s="103">
        <v>31929</v>
      </c>
      <c r="B499" s="104">
        <v>20.033999999999999</v>
      </c>
    </row>
    <row r="500" spans="1:2">
      <c r="A500" s="103">
        <v>31959</v>
      </c>
      <c r="B500" s="104">
        <v>21.355</v>
      </c>
    </row>
    <row r="501" spans="1:2">
      <c r="A501" s="103">
        <v>31990</v>
      </c>
      <c r="B501" s="104">
        <v>20.274000000000001</v>
      </c>
    </row>
    <row r="502" spans="1:2">
      <c r="A502" s="103">
        <v>32021</v>
      </c>
      <c r="B502" s="104">
        <v>19.526</v>
      </c>
    </row>
    <row r="503" spans="1:2">
      <c r="A503" s="103">
        <v>32051</v>
      </c>
      <c r="B503" s="104">
        <v>19.847999999999999</v>
      </c>
    </row>
    <row r="504" spans="1:2">
      <c r="A504" s="103">
        <v>32082</v>
      </c>
      <c r="B504" s="104">
        <v>18.920000000000002</v>
      </c>
    </row>
    <row r="505" spans="1:2">
      <c r="A505" s="103">
        <v>32112</v>
      </c>
      <c r="B505" s="104">
        <v>17.241</v>
      </c>
    </row>
    <row r="506" spans="1:2">
      <c r="A506" s="103">
        <v>32143</v>
      </c>
      <c r="B506" s="104">
        <v>17.16</v>
      </c>
    </row>
    <row r="507" spans="1:2">
      <c r="A507" s="103">
        <v>32174</v>
      </c>
      <c r="B507" s="104">
        <v>16.765000000000001</v>
      </c>
    </row>
    <row r="508" spans="1:2">
      <c r="A508" s="103">
        <v>32203</v>
      </c>
      <c r="B508" s="104">
        <v>16.216999999999999</v>
      </c>
    </row>
    <row r="509" spans="1:2">
      <c r="A509" s="103">
        <v>32234</v>
      </c>
      <c r="B509" s="104">
        <v>17.875</v>
      </c>
    </row>
    <row r="510" spans="1:2">
      <c r="A510" s="103">
        <v>32264</v>
      </c>
      <c r="B510" s="104">
        <v>17.437999999999999</v>
      </c>
    </row>
    <row r="511" spans="1:2">
      <c r="A511" s="103">
        <v>32295</v>
      </c>
      <c r="B511" s="104">
        <v>16.53</v>
      </c>
    </row>
    <row r="512" spans="1:2">
      <c r="A512" s="103">
        <v>32325</v>
      </c>
      <c r="B512" s="104">
        <v>15.497999999999999</v>
      </c>
    </row>
    <row r="513" spans="1:2">
      <c r="A513" s="103">
        <v>32356</v>
      </c>
      <c r="B513" s="104">
        <v>15.523999999999999</v>
      </c>
    </row>
    <row r="514" spans="1:2">
      <c r="A514" s="103">
        <v>32387</v>
      </c>
      <c r="B514" s="104">
        <v>14.467000000000001</v>
      </c>
    </row>
    <row r="515" spans="1:2">
      <c r="A515" s="103">
        <v>32417</v>
      </c>
      <c r="B515" s="104">
        <v>13.798</v>
      </c>
    </row>
    <row r="516" spans="1:2">
      <c r="A516" s="103">
        <v>32448</v>
      </c>
      <c r="B516" s="104">
        <v>13.977</v>
      </c>
    </row>
    <row r="517" spans="1:2">
      <c r="A517" s="103">
        <v>32478</v>
      </c>
      <c r="B517" s="104">
        <v>16.265999999999998</v>
      </c>
    </row>
    <row r="518" spans="1:2">
      <c r="A518" s="103">
        <v>32509</v>
      </c>
      <c r="B518" s="104">
        <v>17.983000000000001</v>
      </c>
    </row>
    <row r="519" spans="1:2">
      <c r="A519" s="103">
        <v>32540</v>
      </c>
      <c r="B519" s="104">
        <v>17.826000000000001</v>
      </c>
    </row>
    <row r="520" spans="1:2">
      <c r="A520" s="103">
        <v>32568</v>
      </c>
      <c r="B520" s="104">
        <v>19.445</v>
      </c>
    </row>
    <row r="521" spans="1:2">
      <c r="A521" s="103">
        <v>32599</v>
      </c>
      <c r="B521" s="104">
        <v>21.04</v>
      </c>
    </row>
    <row r="522" spans="1:2">
      <c r="A522" s="103">
        <v>32629</v>
      </c>
      <c r="B522" s="104">
        <v>20.032</v>
      </c>
    </row>
    <row r="523" spans="1:2">
      <c r="A523" s="103">
        <v>32660</v>
      </c>
      <c r="B523" s="104">
        <v>20.004999999999999</v>
      </c>
    </row>
    <row r="524" spans="1:2">
      <c r="A524" s="103">
        <v>32690</v>
      </c>
      <c r="B524" s="104">
        <v>19.643999999999998</v>
      </c>
    </row>
    <row r="525" spans="1:2">
      <c r="A525" s="103">
        <v>32721</v>
      </c>
      <c r="B525" s="104">
        <v>18.521999999999998</v>
      </c>
    </row>
    <row r="526" spans="1:2">
      <c r="A526" s="103">
        <v>32752</v>
      </c>
      <c r="B526" s="104">
        <v>19.594000000000001</v>
      </c>
    </row>
    <row r="527" spans="1:2">
      <c r="A527" s="103">
        <v>32782</v>
      </c>
      <c r="B527" s="104">
        <v>20.091000000000001</v>
      </c>
    </row>
    <row r="528" spans="1:2">
      <c r="A528" s="103">
        <v>32813</v>
      </c>
      <c r="B528" s="104">
        <v>19.82</v>
      </c>
    </row>
    <row r="529" spans="1:2">
      <c r="A529" s="103">
        <v>32843</v>
      </c>
      <c r="B529" s="104">
        <v>21.088000000000001</v>
      </c>
    </row>
    <row r="530" spans="1:2">
      <c r="A530" s="103">
        <v>32874</v>
      </c>
      <c r="B530" s="104">
        <v>22.640999999999998</v>
      </c>
    </row>
    <row r="531" spans="1:2">
      <c r="A531" s="103">
        <v>32905</v>
      </c>
      <c r="B531" s="104">
        <v>22.108000000000001</v>
      </c>
    </row>
    <row r="532" spans="1:2">
      <c r="A532" s="103">
        <v>32933</v>
      </c>
      <c r="B532" s="104">
        <v>20.417999999999999</v>
      </c>
    </row>
    <row r="533" spans="1:2">
      <c r="A533" s="103">
        <v>32964</v>
      </c>
      <c r="B533" s="104">
        <v>18.582000000000001</v>
      </c>
    </row>
    <row r="534" spans="1:2">
      <c r="A534" s="103">
        <v>32994</v>
      </c>
      <c r="B534" s="104">
        <v>18.236999999999998</v>
      </c>
    </row>
    <row r="535" spans="1:2">
      <c r="A535" s="103">
        <v>33025</v>
      </c>
      <c r="B535" s="104">
        <v>16.870999999999999</v>
      </c>
    </row>
    <row r="536" spans="1:2">
      <c r="A536" s="103">
        <v>33055</v>
      </c>
      <c r="B536" s="104">
        <v>18.638000000000002</v>
      </c>
    </row>
    <row r="537" spans="1:2">
      <c r="A537" s="103">
        <v>33086</v>
      </c>
      <c r="B537" s="104">
        <v>27.173999999999999</v>
      </c>
    </row>
    <row r="538" spans="1:2">
      <c r="A538" s="103">
        <v>33117</v>
      </c>
      <c r="B538" s="104">
        <v>33.686999999999998</v>
      </c>
    </row>
    <row r="539" spans="1:2">
      <c r="A539" s="103">
        <v>33147</v>
      </c>
      <c r="B539" s="104">
        <v>35.921999999999997</v>
      </c>
    </row>
    <row r="540" spans="1:2">
      <c r="A540" s="103">
        <v>33178</v>
      </c>
      <c r="B540" s="104">
        <v>32.299999999999997</v>
      </c>
    </row>
    <row r="541" spans="1:2">
      <c r="A541" s="103">
        <v>33208</v>
      </c>
      <c r="B541" s="104">
        <v>27.337</v>
      </c>
    </row>
    <row r="542" spans="1:2">
      <c r="A542" s="103">
        <v>33239</v>
      </c>
      <c r="B542" s="104">
        <v>24.959</v>
      </c>
    </row>
    <row r="543" spans="1:2">
      <c r="A543" s="103">
        <v>33270</v>
      </c>
      <c r="B543" s="104">
        <v>20.523</v>
      </c>
    </row>
    <row r="544" spans="1:2">
      <c r="A544" s="103">
        <v>33298</v>
      </c>
      <c r="B544" s="104">
        <v>19.86</v>
      </c>
    </row>
    <row r="545" spans="1:2">
      <c r="A545" s="103">
        <v>33329</v>
      </c>
      <c r="B545" s="104">
        <v>20.823</v>
      </c>
    </row>
    <row r="546" spans="1:2">
      <c r="A546" s="103">
        <v>33359</v>
      </c>
      <c r="B546" s="104">
        <v>21.24</v>
      </c>
    </row>
    <row r="547" spans="1:2">
      <c r="A547" s="103">
        <v>33390</v>
      </c>
      <c r="B547" s="104">
        <v>20.195</v>
      </c>
    </row>
    <row r="548" spans="1:2">
      <c r="A548" s="103">
        <v>33420</v>
      </c>
      <c r="B548" s="104">
        <v>21.42</v>
      </c>
    </row>
    <row r="549" spans="1:2">
      <c r="A549" s="103">
        <v>33451</v>
      </c>
      <c r="B549" s="104">
        <v>21.687999999999999</v>
      </c>
    </row>
    <row r="550" spans="1:2">
      <c r="A550" s="103">
        <v>33482</v>
      </c>
      <c r="B550" s="104">
        <v>21.856999999999999</v>
      </c>
    </row>
    <row r="551" spans="1:2">
      <c r="A551" s="103">
        <v>33512</v>
      </c>
      <c r="B551" s="104">
        <v>23.228000000000002</v>
      </c>
    </row>
    <row r="552" spans="1:2">
      <c r="A552" s="103">
        <v>33543</v>
      </c>
      <c r="B552" s="104">
        <v>22.465</v>
      </c>
    </row>
    <row r="553" spans="1:2">
      <c r="A553" s="103">
        <v>33573</v>
      </c>
      <c r="B553" s="104">
        <v>19.516999999999999</v>
      </c>
    </row>
    <row r="554" spans="1:2">
      <c r="A554" s="103">
        <v>33604</v>
      </c>
      <c r="B554" s="104">
        <v>18.82</v>
      </c>
    </row>
    <row r="555" spans="1:2">
      <c r="A555" s="103">
        <v>33635</v>
      </c>
      <c r="B555" s="104">
        <v>18.995000000000001</v>
      </c>
    </row>
    <row r="556" spans="1:2">
      <c r="A556" s="103">
        <v>33664</v>
      </c>
      <c r="B556" s="104">
        <v>18.916</v>
      </c>
    </row>
    <row r="557" spans="1:2">
      <c r="A557" s="103">
        <v>33695</v>
      </c>
      <c r="B557" s="104">
        <v>20.242999999999999</v>
      </c>
    </row>
    <row r="558" spans="1:2">
      <c r="A558" s="103">
        <v>33725</v>
      </c>
      <c r="B558" s="104">
        <v>20.94</v>
      </c>
    </row>
    <row r="559" spans="1:2">
      <c r="A559" s="103">
        <v>33756</v>
      </c>
      <c r="B559" s="104">
        <v>22.375</v>
      </c>
    </row>
    <row r="560" spans="1:2">
      <c r="A560" s="103">
        <v>33786</v>
      </c>
      <c r="B560" s="104">
        <v>21.759</v>
      </c>
    </row>
    <row r="561" spans="1:2">
      <c r="A561" s="103">
        <v>33817</v>
      </c>
      <c r="B561" s="104">
        <v>21.35</v>
      </c>
    </row>
    <row r="562" spans="1:2">
      <c r="A562" s="103">
        <v>33848</v>
      </c>
      <c r="B562" s="104">
        <v>21.902000000000001</v>
      </c>
    </row>
    <row r="563" spans="1:2">
      <c r="A563" s="103">
        <v>33878</v>
      </c>
      <c r="B563" s="104">
        <v>21.687999999999999</v>
      </c>
    </row>
    <row r="564" spans="1:2">
      <c r="A564" s="103">
        <v>33909</v>
      </c>
      <c r="B564" s="104">
        <v>20.341999999999999</v>
      </c>
    </row>
    <row r="565" spans="1:2">
      <c r="A565" s="103">
        <v>33939</v>
      </c>
      <c r="B565" s="104">
        <v>19.407</v>
      </c>
    </row>
    <row r="566" spans="1:2">
      <c r="A566" s="103">
        <v>33970</v>
      </c>
      <c r="B566" s="104">
        <v>19.074999999999999</v>
      </c>
    </row>
    <row r="567" spans="1:2">
      <c r="A567" s="103">
        <v>34001</v>
      </c>
      <c r="B567" s="104">
        <v>20.053000000000001</v>
      </c>
    </row>
    <row r="568" spans="1:2">
      <c r="A568" s="103">
        <v>34029</v>
      </c>
      <c r="B568" s="104">
        <v>20.347000000000001</v>
      </c>
    </row>
    <row r="569" spans="1:2">
      <c r="A569" s="103">
        <v>34060</v>
      </c>
      <c r="B569" s="104">
        <v>20.27</v>
      </c>
    </row>
    <row r="570" spans="1:2">
      <c r="A570" s="103">
        <v>34090</v>
      </c>
      <c r="B570" s="104">
        <v>19.940000000000001</v>
      </c>
    </row>
    <row r="571" spans="1:2">
      <c r="A571" s="103">
        <v>34121</v>
      </c>
      <c r="B571" s="104">
        <v>19.07</v>
      </c>
    </row>
    <row r="572" spans="1:2">
      <c r="A572" s="103">
        <v>34151</v>
      </c>
      <c r="B572" s="104">
        <v>17.866</v>
      </c>
    </row>
    <row r="573" spans="1:2">
      <c r="A573" s="103">
        <v>34182</v>
      </c>
      <c r="B573" s="104">
        <v>18.009</v>
      </c>
    </row>
    <row r="574" spans="1:2">
      <c r="A574" s="103">
        <v>34213</v>
      </c>
      <c r="B574" s="104">
        <v>17.513999999999999</v>
      </c>
    </row>
    <row r="575" spans="1:2">
      <c r="A575" s="103">
        <v>34243</v>
      </c>
      <c r="B575" s="104">
        <v>18.145</v>
      </c>
    </row>
    <row r="576" spans="1:2">
      <c r="A576" s="103">
        <v>34274</v>
      </c>
      <c r="B576" s="104">
        <v>16.699000000000002</v>
      </c>
    </row>
    <row r="577" spans="1:2">
      <c r="A577" s="103">
        <v>34304</v>
      </c>
      <c r="B577" s="104">
        <v>14.51</v>
      </c>
    </row>
    <row r="578" spans="1:2">
      <c r="A578" s="103">
        <v>34335</v>
      </c>
      <c r="B578" s="104">
        <v>15</v>
      </c>
    </row>
    <row r="579" spans="1:2">
      <c r="A579" s="103">
        <v>34366</v>
      </c>
      <c r="B579" s="104">
        <v>14.78</v>
      </c>
    </row>
    <row r="580" spans="1:2">
      <c r="A580" s="103">
        <v>34394</v>
      </c>
      <c r="B580" s="104">
        <v>14.66</v>
      </c>
    </row>
    <row r="581" spans="1:2">
      <c r="A581" s="103">
        <v>34425</v>
      </c>
      <c r="B581" s="104">
        <v>16.38</v>
      </c>
    </row>
    <row r="582" spans="1:2">
      <c r="A582" s="103">
        <v>34455</v>
      </c>
      <c r="B582" s="104">
        <v>17.88</v>
      </c>
    </row>
    <row r="583" spans="1:2">
      <c r="A583" s="103">
        <v>34486</v>
      </c>
      <c r="B583" s="104">
        <v>19.07</v>
      </c>
    </row>
    <row r="584" spans="1:2">
      <c r="A584" s="103">
        <v>34516</v>
      </c>
      <c r="B584" s="104">
        <v>19.649999999999999</v>
      </c>
    </row>
    <row r="585" spans="1:2">
      <c r="A585" s="103">
        <v>34547</v>
      </c>
      <c r="B585" s="104">
        <v>18.38</v>
      </c>
    </row>
    <row r="586" spans="1:2">
      <c r="A586" s="103">
        <v>34578</v>
      </c>
      <c r="B586" s="104">
        <v>17.46</v>
      </c>
    </row>
    <row r="587" spans="1:2">
      <c r="A587" s="103">
        <v>34608</v>
      </c>
      <c r="B587" s="104">
        <v>17.71</v>
      </c>
    </row>
    <row r="588" spans="1:2">
      <c r="A588" s="103">
        <v>34639</v>
      </c>
      <c r="B588" s="104">
        <v>18.100000000000001</v>
      </c>
    </row>
    <row r="589" spans="1:2">
      <c r="A589" s="103">
        <v>34669</v>
      </c>
      <c r="B589" s="104">
        <v>17.16</v>
      </c>
    </row>
    <row r="590" spans="1:2">
      <c r="A590" s="103">
        <v>34700</v>
      </c>
      <c r="B590" s="104">
        <v>17.989999999999998</v>
      </c>
    </row>
    <row r="591" spans="1:2">
      <c r="A591" s="103">
        <v>34731</v>
      </c>
      <c r="B591" s="104">
        <v>18.53</v>
      </c>
    </row>
    <row r="592" spans="1:2">
      <c r="A592" s="103">
        <v>34759</v>
      </c>
      <c r="B592" s="104">
        <v>18.55</v>
      </c>
    </row>
    <row r="593" spans="1:2">
      <c r="A593" s="103">
        <v>34790</v>
      </c>
      <c r="B593" s="104">
        <v>19.87</v>
      </c>
    </row>
    <row r="594" spans="1:2">
      <c r="A594" s="103">
        <v>34820</v>
      </c>
      <c r="B594" s="104">
        <v>19.739999999999998</v>
      </c>
    </row>
    <row r="595" spans="1:2">
      <c r="A595" s="103">
        <v>34851</v>
      </c>
      <c r="B595" s="104">
        <v>18.420000000000002</v>
      </c>
    </row>
    <row r="596" spans="1:2">
      <c r="A596" s="103">
        <v>34881</v>
      </c>
      <c r="B596" s="104">
        <v>17.3</v>
      </c>
    </row>
    <row r="597" spans="1:2">
      <c r="A597" s="103">
        <v>34912</v>
      </c>
      <c r="B597" s="104">
        <v>18.03</v>
      </c>
    </row>
    <row r="598" spans="1:2">
      <c r="A598" s="103">
        <v>34943</v>
      </c>
      <c r="B598" s="104">
        <v>18.23</v>
      </c>
    </row>
    <row r="599" spans="1:2">
      <c r="A599" s="103">
        <v>34973</v>
      </c>
      <c r="B599" s="104">
        <v>17.440000000000001</v>
      </c>
    </row>
    <row r="600" spans="1:2">
      <c r="A600" s="103">
        <v>35004</v>
      </c>
      <c r="B600" s="104">
        <v>17.989999999999998</v>
      </c>
    </row>
    <row r="601" spans="1:2">
      <c r="A601" s="103">
        <v>35034</v>
      </c>
      <c r="B601" s="104">
        <v>19.04</v>
      </c>
    </row>
    <row r="602" spans="1:2">
      <c r="A602" s="103">
        <v>35065</v>
      </c>
      <c r="B602" s="104">
        <v>18.88</v>
      </c>
    </row>
    <row r="603" spans="1:2">
      <c r="A603" s="103">
        <v>35096</v>
      </c>
      <c r="B603" s="104">
        <v>19.07</v>
      </c>
    </row>
    <row r="604" spans="1:2">
      <c r="A604" s="103">
        <v>35125</v>
      </c>
      <c r="B604" s="104">
        <v>21.36</v>
      </c>
    </row>
    <row r="605" spans="1:2">
      <c r="A605" s="103">
        <v>35156</v>
      </c>
      <c r="B605" s="104">
        <v>23.57</v>
      </c>
    </row>
    <row r="606" spans="1:2">
      <c r="A606" s="103">
        <v>35186</v>
      </c>
      <c r="B606" s="104">
        <v>21.25</v>
      </c>
    </row>
    <row r="607" spans="1:2">
      <c r="A607" s="103">
        <v>35217</v>
      </c>
      <c r="B607" s="104">
        <v>20.45</v>
      </c>
    </row>
    <row r="608" spans="1:2">
      <c r="A608" s="103">
        <v>35247</v>
      </c>
      <c r="B608" s="104">
        <v>21.32</v>
      </c>
    </row>
    <row r="609" spans="1:2">
      <c r="A609" s="103">
        <v>35278</v>
      </c>
      <c r="B609" s="104">
        <v>21.96</v>
      </c>
    </row>
    <row r="610" spans="1:2">
      <c r="A610" s="103">
        <v>35309</v>
      </c>
      <c r="B610" s="104">
        <v>23.99</v>
      </c>
    </row>
    <row r="611" spans="1:2">
      <c r="A611" s="103">
        <v>35339</v>
      </c>
      <c r="B611" s="104">
        <v>24.9</v>
      </c>
    </row>
    <row r="612" spans="1:2">
      <c r="A612" s="103">
        <v>35370</v>
      </c>
      <c r="B612" s="104">
        <v>23.71</v>
      </c>
    </row>
    <row r="613" spans="1:2">
      <c r="A613" s="103">
        <v>35400</v>
      </c>
      <c r="B613" s="104">
        <v>25.39</v>
      </c>
    </row>
    <row r="614" spans="1:2">
      <c r="A614" s="103">
        <v>35431</v>
      </c>
      <c r="B614" s="104">
        <v>25.17</v>
      </c>
    </row>
    <row r="615" spans="1:2">
      <c r="A615" s="103">
        <v>35462</v>
      </c>
      <c r="B615" s="104">
        <v>22.21</v>
      </c>
    </row>
    <row r="616" spans="1:2">
      <c r="A616" s="103">
        <v>35490</v>
      </c>
      <c r="B616" s="104">
        <v>20.99</v>
      </c>
    </row>
    <row r="617" spans="1:2">
      <c r="A617" s="103">
        <v>35521</v>
      </c>
      <c r="B617" s="104">
        <v>19.72</v>
      </c>
    </row>
    <row r="618" spans="1:2">
      <c r="A618" s="103">
        <v>35551</v>
      </c>
      <c r="B618" s="104">
        <v>20.83</v>
      </c>
    </row>
    <row r="619" spans="1:2">
      <c r="A619" s="103">
        <v>35582</v>
      </c>
      <c r="B619" s="104">
        <v>19.170000000000002</v>
      </c>
    </row>
    <row r="620" spans="1:2">
      <c r="A620" s="103">
        <v>35612</v>
      </c>
      <c r="B620" s="104">
        <v>19.63</v>
      </c>
    </row>
    <row r="621" spans="1:2">
      <c r="A621" s="103">
        <v>35643</v>
      </c>
      <c r="B621" s="104">
        <v>19.93</v>
      </c>
    </row>
    <row r="622" spans="1:2">
      <c r="A622" s="103">
        <v>35674</v>
      </c>
      <c r="B622" s="104">
        <v>19.79</v>
      </c>
    </row>
    <row r="623" spans="1:2">
      <c r="A623" s="103">
        <v>35704</v>
      </c>
      <c r="B623" s="104">
        <v>21.26</v>
      </c>
    </row>
    <row r="624" spans="1:2">
      <c r="A624" s="103">
        <v>35735</v>
      </c>
      <c r="B624" s="104">
        <v>20.170000000000002</v>
      </c>
    </row>
    <row r="625" spans="1:2">
      <c r="A625" s="103">
        <v>35765</v>
      </c>
      <c r="B625" s="104">
        <v>18.32</v>
      </c>
    </row>
    <row r="626" spans="1:2">
      <c r="A626" s="103">
        <v>35796</v>
      </c>
      <c r="B626" s="104">
        <v>16.71</v>
      </c>
    </row>
    <row r="627" spans="1:2">
      <c r="A627" s="103">
        <v>35827</v>
      </c>
      <c r="B627" s="104">
        <v>16.059999999999999</v>
      </c>
    </row>
    <row r="628" spans="1:2">
      <c r="A628" s="103">
        <v>35855</v>
      </c>
      <c r="B628" s="104">
        <v>15.02</v>
      </c>
    </row>
    <row r="629" spans="1:2">
      <c r="A629" s="103">
        <v>35886</v>
      </c>
      <c r="B629" s="104">
        <v>15.44</v>
      </c>
    </row>
    <row r="630" spans="1:2">
      <c r="A630" s="103">
        <v>35916</v>
      </c>
      <c r="B630" s="104">
        <v>14.86</v>
      </c>
    </row>
    <row r="631" spans="1:2">
      <c r="A631" s="103">
        <v>35947</v>
      </c>
      <c r="B631" s="104">
        <v>13.66</v>
      </c>
    </row>
    <row r="632" spans="1:2">
      <c r="A632" s="103">
        <v>35977</v>
      </c>
      <c r="B632" s="104">
        <v>14.08</v>
      </c>
    </row>
    <row r="633" spans="1:2">
      <c r="A633" s="103">
        <v>36008</v>
      </c>
      <c r="B633" s="104">
        <v>13.36</v>
      </c>
    </row>
    <row r="634" spans="1:2">
      <c r="A634" s="103">
        <v>36039</v>
      </c>
      <c r="B634" s="104">
        <v>14.95</v>
      </c>
    </row>
    <row r="635" spans="1:2">
      <c r="A635" s="103">
        <v>36069</v>
      </c>
      <c r="B635" s="104">
        <v>14.39</v>
      </c>
    </row>
    <row r="636" spans="1:2">
      <c r="A636" s="103">
        <v>36100</v>
      </c>
      <c r="B636" s="104">
        <v>12.85</v>
      </c>
    </row>
    <row r="637" spans="1:2">
      <c r="A637" s="103">
        <v>36130</v>
      </c>
      <c r="B637" s="104">
        <v>11.28</v>
      </c>
    </row>
    <row r="638" spans="1:2">
      <c r="A638" s="103">
        <v>36161</v>
      </c>
      <c r="B638" s="104">
        <v>12.47</v>
      </c>
    </row>
    <row r="639" spans="1:2">
      <c r="A639" s="103">
        <v>36192</v>
      </c>
      <c r="B639" s="104">
        <v>12.01</v>
      </c>
    </row>
    <row r="640" spans="1:2">
      <c r="A640" s="103">
        <v>36220</v>
      </c>
      <c r="B640" s="104">
        <v>14.66</v>
      </c>
    </row>
    <row r="641" spans="1:2">
      <c r="A641" s="103">
        <v>36251</v>
      </c>
      <c r="B641" s="104">
        <v>17.34</v>
      </c>
    </row>
    <row r="642" spans="1:2">
      <c r="A642" s="103">
        <v>36281</v>
      </c>
      <c r="B642" s="104">
        <v>17.75</v>
      </c>
    </row>
    <row r="643" spans="1:2">
      <c r="A643" s="103">
        <v>36312</v>
      </c>
      <c r="B643" s="104">
        <v>17.89</v>
      </c>
    </row>
    <row r="644" spans="1:2">
      <c r="A644" s="103">
        <v>36342</v>
      </c>
      <c r="B644" s="104">
        <v>20.07</v>
      </c>
    </row>
    <row r="645" spans="1:2">
      <c r="A645" s="103">
        <v>36373</v>
      </c>
      <c r="B645" s="104">
        <v>21.26</v>
      </c>
    </row>
    <row r="646" spans="1:2">
      <c r="A646" s="103">
        <v>36404</v>
      </c>
      <c r="B646" s="104">
        <v>23.88</v>
      </c>
    </row>
    <row r="647" spans="1:2">
      <c r="A647" s="103">
        <v>36434</v>
      </c>
      <c r="B647" s="104">
        <v>22.64</v>
      </c>
    </row>
    <row r="648" spans="1:2">
      <c r="A648" s="103">
        <v>36465</v>
      </c>
      <c r="B648" s="104">
        <v>24.97</v>
      </c>
    </row>
    <row r="649" spans="1:2">
      <c r="A649" s="103">
        <v>36495</v>
      </c>
      <c r="B649" s="104">
        <v>26.08</v>
      </c>
    </row>
    <row r="650" spans="1:2">
      <c r="A650" s="103">
        <v>36526</v>
      </c>
      <c r="B650" s="104">
        <v>27.18</v>
      </c>
    </row>
    <row r="651" spans="1:2">
      <c r="A651" s="103">
        <v>36557</v>
      </c>
      <c r="B651" s="104">
        <v>29.35</v>
      </c>
    </row>
    <row r="652" spans="1:2">
      <c r="A652" s="103">
        <v>36586</v>
      </c>
      <c r="B652" s="104">
        <v>29.89</v>
      </c>
    </row>
    <row r="653" spans="1:2">
      <c r="A653" s="103">
        <v>36617</v>
      </c>
      <c r="B653" s="104">
        <v>25.74</v>
      </c>
    </row>
    <row r="654" spans="1:2">
      <c r="A654" s="103">
        <v>36647</v>
      </c>
      <c r="B654" s="104">
        <v>28.78</v>
      </c>
    </row>
    <row r="655" spans="1:2">
      <c r="A655" s="103">
        <v>36678</v>
      </c>
      <c r="B655" s="104">
        <v>31.83</v>
      </c>
    </row>
    <row r="656" spans="1:2">
      <c r="A656" s="103">
        <v>36708</v>
      </c>
      <c r="B656" s="104">
        <v>29.77</v>
      </c>
    </row>
    <row r="657" spans="1:2">
      <c r="A657" s="103">
        <v>36739</v>
      </c>
      <c r="B657" s="104">
        <v>31.22</v>
      </c>
    </row>
    <row r="658" spans="1:2">
      <c r="A658" s="103">
        <v>36770</v>
      </c>
      <c r="B658" s="104">
        <v>33.880000000000003</v>
      </c>
    </row>
    <row r="659" spans="1:2">
      <c r="A659" s="103">
        <v>36800</v>
      </c>
      <c r="B659" s="104">
        <v>33.08</v>
      </c>
    </row>
    <row r="660" spans="1:2">
      <c r="A660" s="103">
        <v>36831</v>
      </c>
      <c r="B660" s="104">
        <v>34.4</v>
      </c>
    </row>
    <row r="661" spans="1:2">
      <c r="A661" s="103">
        <v>36861</v>
      </c>
      <c r="B661" s="104">
        <v>28.46</v>
      </c>
    </row>
    <row r="662" spans="1:2">
      <c r="A662" s="103">
        <v>36892</v>
      </c>
      <c r="B662" s="104">
        <v>29.58</v>
      </c>
    </row>
    <row r="663" spans="1:2">
      <c r="A663" s="103">
        <v>36923</v>
      </c>
      <c r="B663" s="104">
        <v>29.61</v>
      </c>
    </row>
    <row r="664" spans="1:2">
      <c r="A664" s="103">
        <v>36951</v>
      </c>
      <c r="B664" s="104">
        <v>27.24</v>
      </c>
    </row>
    <row r="665" spans="1:2">
      <c r="A665" s="103">
        <v>36982</v>
      </c>
      <c r="B665" s="104">
        <v>27.41</v>
      </c>
    </row>
    <row r="666" spans="1:2">
      <c r="A666" s="103">
        <v>37012</v>
      </c>
      <c r="B666" s="104">
        <v>28.64</v>
      </c>
    </row>
    <row r="667" spans="1:2">
      <c r="A667" s="103">
        <v>37043</v>
      </c>
      <c r="B667" s="104">
        <v>27.6</v>
      </c>
    </row>
    <row r="668" spans="1:2">
      <c r="A668" s="103">
        <v>37073</v>
      </c>
      <c r="B668" s="104">
        <v>26.45</v>
      </c>
    </row>
    <row r="669" spans="1:2">
      <c r="A669" s="103">
        <v>37104</v>
      </c>
      <c r="B669" s="104">
        <v>27.47</v>
      </c>
    </row>
    <row r="670" spans="1:2">
      <c r="A670" s="103">
        <v>37135</v>
      </c>
      <c r="B670" s="104">
        <v>25.88</v>
      </c>
    </row>
    <row r="671" spans="1:2">
      <c r="A671" s="103">
        <v>37165</v>
      </c>
      <c r="B671" s="104">
        <v>22.21</v>
      </c>
    </row>
    <row r="672" spans="1:2">
      <c r="A672" s="103">
        <v>37196</v>
      </c>
      <c r="B672" s="104">
        <v>19.670000000000002</v>
      </c>
    </row>
    <row r="673" spans="1:2">
      <c r="A673" s="103">
        <v>37226</v>
      </c>
      <c r="B673" s="104">
        <v>19.329999999999998</v>
      </c>
    </row>
    <row r="674" spans="1:2">
      <c r="A674" s="103">
        <v>37257</v>
      </c>
      <c r="B674" s="104">
        <v>19.670000000000002</v>
      </c>
    </row>
    <row r="675" spans="1:2">
      <c r="A675" s="103">
        <v>37288</v>
      </c>
      <c r="B675" s="104">
        <v>20.74</v>
      </c>
    </row>
    <row r="676" spans="1:2">
      <c r="A676" s="103">
        <v>37316</v>
      </c>
      <c r="B676" s="104">
        <v>24.42</v>
      </c>
    </row>
    <row r="677" spans="1:2">
      <c r="A677" s="103">
        <v>37347</v>
      </c>
      <c r="B677" s="104">
        <v>26.27</v>
      </c>
    </row>
    <row r="678" spans="1:2">
      <c r="A678" s="103">
        <v>37377</v>
      </c>
      <c r="B678" s="104">
        <v>27.02</v>
      </c>
    </row>
    <row r="679" spans="1:2">
      <c r="A679" s="103">
        <v>37408</v>
      </c>
      <c r="B679" s="104">
        <v>25.52</v>
      </c>
    </row>
    <row r="680" spans="1:2">
      <c r="A680" s="103">
        <v>37438</v>
      </c>
      <c r="B680" s="104">
        <v>26.94</v>
      </c>
    </row>
    <row r="681" spans="1:2">
      <c r="A681" s="103">
        <v>37469</v>
      </c>
      <c r="B681" s="104">
        <v>28.38</v>
      </c>
    </row>
    <row r="682" spans="1:2">
      <c r="A682" s="103">
        <v>37500</v>
      </c>
      <c r="B682" s="104">
        <v>29.67</v>
      </c>
    </row>
    <row r="683" spans="1:2">
      <c r="A683" s="103">
        <v>37530</v>
      </c>
      <c r="B683" s="104">
        <v>28.85</v>
      </c>
    </row>
    <row r="684" spans="1:2">
      <c r="A684" s="103">
        <v>37561</v>
      </c>
      <c r="B684" s="104">
        <v>26.27</v>
      </c>
    </row>
    <row r="685" spans="1:2">
      <c r="A685" s="103">
        <v>37591</v>
      </c>
      <c r="B685" s="104">
        <v>29.42</v>
      </c>
    </row>
    <row r="686" spans="1:2">
      <c r="A686" s="103">
        <v>37622</v>
      </c>
      <c r="B686" s="104">
        <v>32.94</v>
      </c>
    </row>
    <row r="687" spans="1:2">
      <c r="A687" s="103">
        <v>37653</v>
      </c>
      <c r="B687" s="104">
        <v>35.869999999999997</v>
      </c>
    </row>
    <row r="688" spans="1:2">
      <c r="A688" s="103">
        <v>37681</v>
      </c>
      <c r="B688" s="104">
        <v>33.549999999999997</v>
      </c>
    </row>
    <row r="689" spans="1:2">
      <c r="A689" s="103">
        <v>37712</v>
      </c>
      <c r="B689" s="104">
        <v>28.25</v>
      </c>
    </row>
    <row r="690" spans="1:2">
      <c r="A690" s="103">
        <v>37742</v>
      </c>
      <c r="B690" s="104">
        <v>28.14</v>
      </c>
    </row>
    <row r="691" spans="1:2">
      <c r="A691" s="103">
        <v>37773</v>
      </c>
      <c r="B691" s="104">
        <v>30.72</v>
      </c>
    </row>
    <row r="692" spans="1:2">
      <c r="A692" s="103">
        <v>37803</v>
      </c>
      <c r="B692" s="104">
        <v>30.76</v>
      </c>
    </row>
    <row r="693" spans="1:2">
      <c r="A693" s="103">
        <v>37834</v>
      </c>
      <c r="B693" s="104">
        <v>31.59</v>
      </c>
    </row>
    <row r="694" spans="1:2">
      <c r="A694" s="103">
        <v>37865</v>
      </c>
      <c r="B694" s="104">
        <v>28.29</v>
      </c>
    </row>
    <row r="695" spans="1:2">
      <c r="A695" s="103">
        <v>37895</v>
      </c>
      <c r="B695" s="104">
        <v>30.33</v>
      </c>
    </row>
    <row r="696" spans="1:2">
      <c r="A696" s="103">
        <v>37926</v>
      </c>
      <c r="B696" s="104">
        <v>31.09</v>
      </c>
    </row>
    <row r="697" spans="1:2">
      <c r="A697" s="103">
        <v>37956</v>
      </c>
      <c r="B697" s="104">
        <v>32.15</v>
      </c>
    </row>
    <row r="698" spans="1:2">
      <c r="A698" s="103">
        <v>37987</v>
      </c>
      <c r="B698" s="104">
        <v>34.270000000000003</v>
      </c>
    </row>
    <row r="699" spans="1:2">
      <c r="A699" s="103">
        <v>38018</v>
      </c>
      <c r="B699" s="104">
        <v>34.74</v>
      </c>
    </row>
    <row r="700" spans="1:2">
      <c r="A700" s="103">
        <v>38047</v>
      </c>
      <c r="B700" s="104">
        <v>36.76</v>
      </c>
    </row>
    <row r="701" spans="1:2">
      <c r="A701" s="103">
        <v>38078</v>
      </c>
      <c r="B701" s="104">
        <v>36.69</v>
      </c>
    </row>
    <row r="702" spans="1:2">
      <c r="A702" s="103">
        <v>38108</v>
      </c>
      <c r="B702" s="104">
        <v>40.28</v>
      </c>
    </row>
    <row r="703" spans="1:2">
      <c r="A703" s="103">
        <v>38139</v>
      </c>
      <c r="B703" s="104">
        <v>38.020000000000003</v>
      </c>
    </row>
    <row r="704" spans="1:2">
      <c r="A704" s="103">
        <v>38169</v>
      </c>
      <c r="B704" s="104">
        <v>40.69</v>
      </c>
    </row>
    <row r="705" spans="1:2">
      <c r="A705" s="103">
        <v>38200</v>
      </c>
      <c r="B705" s="104">
        <v>44.94</v>
      </c>
    </row>
    <row r="706" spans="1:2">
      <c r="A706" s="103">
        <v>38231</v>
      </c>
      <c r="B706" s="104">
        <v>45.95</v>
      </c>
    </row>
    <row r="707" spans="1:2">
      <c r="A707" s="103">
        <v>38261</v>
      </c>
      <c r="B707" s="104">
        <v>53.13</v>
      </c>
    </row>
    <row r="708" spans="1:2">
      <c r="A708" s="103">
        <v>38292</v>
      </c>
      <c r="B708" s="104">
        <v>48.46</v>
      </c>
    </row>
    <row r="709" spans="1:2">
      <c r="A709" s="103">
        <v>38322</v>
      </c>
      <c r="B709" s="104">
        <v>43.33</v>
      </c>
    </row>
    <row r="710" spans="1:2">
      <c r="A710" s="103">
        <v>38353</v>
      </c>
      <c r="B710" s="104">
        <v>46.84</v>
      </c>
    </row>
    <row r="711" spans="1:2">
      <c r="A711" s="103">
        <v>38384</v>
      </c>
      <c r="B711" s="104">
        <v>47.97</v>
      </c>
    </row>
    <row r="712" spans="1:2">
      <c r="A712" s="103">
        <v>38412</v>
      </c>
      <c r="B712" s="104">
        <v>54.31</v>
      </c>
    </row>
    <row r="713" spans="1:2">
      <c r="A713" s="103">
        <v>38443</v>
      </c>
      <c r="B713" s="104">
        <v>53.04</v>
      </c>
    </row>
    <row r="714" spans="1:2">
      <c r="A714" s="103">
        <v>38473</v>
      </c>
      <c r="B714" s="104">
        <v>49.83</v>
      </c>
    </row>
    <row r="715" spans="1:2">
      <c r="A715" s="103">
        <v>38504</v>
      </c>
      <c r="B715" s="104">
        <v>56.26</v>
      </c>
    </row>
    <row r="716" spans="1:2">
      <c r="A716" s="103">
        <v>38534</v>
      </c>
      <c r="B716" s="104">
        <v>58.7</v>
      </c>
    </row>
    <row r="717" spans="1:2">
      <c r="A717" s="103">
        <v>38565</v>
      </c>
      <c r="B717" s="104">
        <v>64.97</v>
      </c>
    </row>
    <row r="718" spans="1:2">
      <c r="A718" s="103">
        <v>38596</v>
      </c>
      <c r="B718" s="104">
        <v>65.569999999999993</v>
      </c>
    </row>
    <row r="719" spans="1:2">
      <c r="A719" s="103">
        <v>38626</v>
      </c>
      <c r="B719" s="104">
        <v>62.37</v>
      </c>
    </row>
    <row r="720" spans="1:2">
      <c r="A720" s="103">
        <v>38657</v>
      </c>
      <c r="B720" s="104">
        <v>58.3</v>
      </c>
    </row>
    <row r="721" spans="1:2">
      <c r="A721" s="103">
        <v>38687</v>
      </c>
      <c r="B721" s="104">
        <v>59.43</v>
      </c>
    </row>
    <row r="722" spans="1:2">
      <c r="A722" s="103">
        <v>38718</v>
      </c>
      <c r="B722" s="104">
        <v>65.510000000000005</v>
      </c>
    </row>
    <row r="723" spans="1:2">
      <c r="A723" s="103">
        <v>38749</v>
      </c>
      <c r="B723" s="104">
        <v>61.63</v>
      </c>
    </row>
    <row r="724" spans="1:2">
      <c r="A724" s="103">
        <v>38777</v>
      </c>
      <c r="B724" s="104">
        <v>62.9</v>
      </c>
    </row>
    <row r="725" spans="1:2">
      <c r="A725" s="103">
        <v>38808</v>
      </c>
      <c r="B725" s="104">
        <v>69.69</v>
      </c>
    </row>
    <row r="726" spans="1:2">
      <c r="A726" s="103">
        <v>38838</v>
      </c>
      <c r="B726" s="104">
        <v>70.94</v>
      </c>
    </row>
    <row r="727" spans="1:2">
      <c r="A727" s="103">
        <v>38869</v>
      </c>
      <c r="B727" s="104">
        <v>70.959999999999994</v>
      </c>
    </row>
    <row r="728" spans="1:2">
      <c r="A728" s="103">
        <v>38899</v>
      </c>
      <c r="B728" s="104">
        <v>74.41</v>
      </c>
    </row>
    <row r="729" spans="1:2">
      <c r="A729" s="103">
        <v>38930</v>
      </c>
      <c r="B729" s="104">
        <v>73.05</v>
      </c>
    </row>
    <row r="730" spans="1:2">
      <c r="A730" s="103">
        <v>38961</v>
      </c>
      <c r="B730" s="104">
        <v>63.87</v>
      </c>
    </row>
    <row r="731" spans="1:2">
      <c r="A731" s="103">
        <v>38991</v>
      </c>
      <c r="B731" s="104">
        <v>58.88</v>
      </c>
    </row>
    <row r="732" spans="1:2">
      <c r="A732" s="103">
        <v>39022</v>
      </c>
      <c r="B732" s="104">
        <v>59.37</v>
      </c>
    </row>
    <row r="733" spans="1:2">
      <c r="A733" s="103">
        <v>39052</v>
      </c>
      <c r="B733" s="104">
        <v>62.03</v>
      </c>
    </row>
    <row r="734" spans="1:2">
      <c r="A734" s="103">
        <v>39083</v>
      </c>
      <c r="B734" s="104">
        <v>54.57</v>
      </c>
    </row>
    <row r="735" spans="1:2">
      <c r="A735" s="103">
        <v>39114</v>
      </c>
      <c r="B735" s="104">
        <v>59.26</v>
      </c>
    </row>
    <row r="736" spans="1:2">
      <c r="A736" s="103">
        <v>39142</v>
      </c>
      <c r="B736" s="104">
        <v>60.56</v>
      </c>
    </row>
    <row r="737" spans="1:2">
      <c r="A737" s="103">
        <v>39173</v>
      </c>
      <c r="B737" s="104">
        <v>63.97</v>
      </c>
    </row>
    <row r="738" spans="1:2">
      <c r="A738" s="103">
        <v>39203</v>
      </c>
      <c r="B738" s="104">
        <v>63.46</v>
      </c>
    </row>
    <row r="739" spans="1:2">
      <c r="A739" s="103">
        <v>39234</v>
      </c>
      <c r="B739" s="104">
        <v>67.48</v>
      </c>
    </row>
    <row r="740" spans="1:2">
      <c r="A740" s="103">
        <v>39264</v>
      </c>
      <c r="B740" s="104">
        <v>74.180000000000007</v>
      </c>
    </row>
    <row r="741" spans="1:2">
      <c r="A741" s="103">
        <v>39295</v>
      </c>
      <c r="B741" s="104">
        <v>72.39</v>
      </c>
    </row>
    <row r="742" spans="1:2">
      <c r="A742" s="103">
        <v>39326</v>
      </c>
      <c r="B742" s="104">
        <v>79.930000000000007</v>
      </c>
    </row>
    <row r="743" spans="1:2">
      <c r="A743" s="103">
        <v>39356</v>
      </c>
      <c r="B743" s="104">
        <v>86.2</v>
      </c>
    </row>
    <row r="744" spans="1:2">
      <c r="A744" s="103">
        <v>39387</v>
      </c>
      <c r="B744" s="104">
        <v>94.62</v>
      </c>
    </row>
    <row r="745" spans="1:2">
      <c r="A745" s="103">
        <v>39417</v>
      </c>
      <c r="B745" s="104">
        <v>91.73</v>
      </c>
    </row>
    <row r="746" spans="1:2">
      <c r="A746" s="103">
        <v>39448</v>
      </c>
      <c r="B746" s="104">
        <v>92.95</v>
      </c>
    </row>
    <row r="747" spans="1:2">
      <c r="A747" s="103">
        <v>39479</v>
      </c>
      <c r="B747" s="104">
        <v>95.35</v>
      </c>
    </row>
    <row r="748" spans="1:2">
      <c r="A748" s="103">
        <v>39508</v>
      </c>
      <c r="B748" s="104">
        <v>105.56</v>
      </c>
    </row>
    <row r="749" spans="1:2">
      <c r="A749" s="103">
        <v>39539</v>
      </c>
      <c r="B749" s="104">
        <v>112.57</v>
      </c>
    </row>
    <row r="750" spans="1:2">
      <c r="A750" s="103">
        <v>39569</v>
      </c>
      <c r="B750" s="104">
        <v>125.39</v>
      </c>
    </row>
    <row r="751" spans="1:2">
      <c r="A751" s="103">
        <v>39600</v>
      </c>
      <c r="B751" s="104">
        <v>133.93</v>
      </c>
    </row>
    <row r="752" spans="1:2">
      <c r="A752" s="103">
        <v>39630</v>
      </c>
      <c r="B752" s="104">
        <v>133.44</v>
      </c>
    </row>
    <row r="753" spans="1:2">
      <c r="A753" s="103">
        <v>39661</v>
      </c>
      <c r="B753" s="104">
        <v>116.61</v>
      </c>
    </row>
    <row r="754" spans="1:2">
      <c r="A754" s="103">
        <v>39692</v>
      </c>
      <c r="B754" s="104">
        <v>103.9</v>
      </c>
    </row>
    <row r="755" spans="1:2">
      <c r="A755" s="103">
        <v>39722</v>
      </c>
      <c r="B755" s="104">
        <v>76.650000000000006</v>
      </c>
    </row>
    <row r="756" spans="1:2">
      <c r="A756" s="103">
        <v>39753</v>
      </c>
      <c r="B756" s="104">
        <v>57.44</v>
      </c>
    </row>
    <row r="757" spans="1:2">
      <c r="A757" s="103">
        <v>39783</v>
      </c>
      <c r="B757" s="104">
        <v>41.02</v>
      </c>
    </row>
    <row r="758" spans="1:2">
      <c r="A758" s="103">
        <v>39814</v>
      </c>
      <c r="B758" s="104">
        <v>41.74</v>
      </c>
    </row>
    <row r="759" spans="1:2">
      <c r="A759" s="103">
        <v>39845</v>
      </c>
      <c r="B759" s="104">
        <v>39.159999999999997</v>
      </c>
    </row>
    <row r="760" spans="1:2">
      <c r="A760" s="103">
        <v>39873</v>
      </c>
      <c r="B760" s="104">
        <v>47.98</v>
      </c>
    </row>
    <row r="761" spans="1:2">
      <c r="A761" s="103">
        <v>39904</v>
      </c>
      <c r="B761" s="104">
        <v>49.79</v>
      </c>
    </row>
    <row r="762" spans="1:2">
      <c r="A762" s="103">
        <v>39934</v>
      </c>
      <c r="B762" s="104">
        <v>59.16</v>
      </c>
    </row>
    <row r="763" spans="1:2">
      <c r="A763" s="103">
        <v>39965</v>
      </c>
      <c r="B763" s="104">
        <v>69.680000000000007</v>
      </c>
    </row>
    <row r="764" spans="1:2">
      <c r="A764" s="103">
        <v>39995</v>
      </c>
      <c r="B764" s="104">
        <v>64.09</v>
      </c>
    </row>
    <row r="765" spans="1:2">
      <c r="A765" s="103">
        <v>40026</v>
      </c>
      <c r="B765" s="104">
        <v>71.06</v>
      </c>
    </row>
    <row r="766" spans="1:2">
      <c r="A766" s="103">
        <v>40057</v>
      </c>
      <c r="B766" s="104">
        <v>69.459999999999994</v>
      </c>
    </row>
    <row r="767" spans="1:2">
      <c r="A767" s="103">
        <v>40087</v>
      </c>
      <c r="B767" s="104">
        <v>75.819999999999993</v>
      </c>
    </row>
    <row r="768" spans="1:2">
      <c r="A768" s="103">
        <v>40118</v>
      </c>
      <c r="B768" s="104">
        <v>78.08</v>
      </c>
    </row>
    <row r="769" spans="1:2">
      <c r="A769" s="103">
        <v>40148</v>
      </c>
      <c r="B769" s="104">
        <v>74.3</v>
      </c>
    </row>
    <row r="770" spans="1:2">
      <c r="A770" s="103">
        <v>40179</v>
      </c>
      <c r="B770" s="104">
        <v>78.22</v>
      </c>
    </row>
    <row r="771" spans="1:2">
      <c r="A771" s="103">
        <v>40210</v>
      </c>
      <c r="B771" s="104">
        <v>76.42</v>
      </c>
    </row>
    <row r="772" spans="1:2">
      <c r="A772" s="103">
        <v>40238</v>
      </c>
      <c r="B772" s="104">
        <v>81.239999999999995</v>
      </c>
    </row>
    <row r="773" spans="1:2">
      <c r="A773" s="103">
        <v>40269</v>
      </c>
      <c r="B773" s="104">
        <v>84.48</v>
      </c>
    </row>
    <row r="774" spans="1:2">
      <c r="A774" s="103">
        <v>40299</v>
      </c>
      <c r="B774" s="104">
        <v>73.84</v>
      </c>
    </row>
    <row r="775" spans="1:2">
      <c r="A775" s="103">
        <v>40330</v>
      </c>
      <c r="B775" s="104">
        <v>75.349999999999994</v>
      </c>
    </row>
    <row r="776" spans="1:2">
      <c r="A776" s="103">
        <v>40360</v>
      </c>
      <c r="B776" s="104">
        <v>76.37</v>
      </c>
    </row>
    <row r="777" spans="1:2">
      <c r="A777" s="103">
        <v>40391</v>
      </c>
      <c r="B777" s="104">
        <v>76.819999999999993</v>
      </c>
    </row>
    <row r="778" spans="1:2">
      <c r="A778" s="103">
        <v>40422</v>
      </c>
      <c r="B778" s="104">
        <v>75.31</v>
      </c>
    </row>
    <row r="779" spans="1:2">
      <c r="A779" s="103">
        <v>40452</v>
      </c>
      <c r="B779" s="104">
        <v>81.900000000000006</v>
      </c>
    </row>
    <row r="780" spans="1:2">
      <c r="A780" s="103">
        <v>40483</v>
      </c>
      <c r="B780" s="104">
        <v>84.14</v>
      </c>
    </row>
    <row r="781" spans="1:2">
      <c r="A781" s="103">
        <v>40513</v>
      </c>
      <c r="B781" s="104">
        <v>89.04</v>
      </c>
    </row>
    <row r="782" spans="1:2">
      <c r="A782" s="103">
        <v>40544</v>
      </c>
      <c r="B782" s="104">
        <v>89.42</v>
      </c>
    </row>
    <row r="783" spans="1:2">
      <c r="A783" s="103">
        <v>40575</v>
      </c>
      <c r="B783" s="104">
        <v>89.58</v>
      </c>
    </row>
    <row r="784" spans="1:2">
      <c r="A784" s="103">
        <v>40603</v>
      </c>
      <c r="B784" s="104">
        <v>102.94</v>
      </c>
    </row>
    <row r="785" spans="1:2">
      <c r="A785" s="103">
        <v>40634</v>
      </c>
      <c r="B785" s="104">
        <v>110.04</v>
      </c>
    </row>
    <row r="786" spans="1:2">
      <c r="A786" s="103">
        <v>40664</v>
      </c>
      <c r="B786" s="104">
        <v>101.33</v>
      </c>
    </row>
    <row r="787" spans="1:2">
      <c r="A787" s="103">
        <v>40695</v>
      </c>
      <c r="B787" s="104">
        <v>96.29</v>
      </c>
    </row>
    <row r="788" spans="1:2">
      <c r="A788" s="103">
        <v>40725</v>
      </c>
      <c r="B788" s="104">
        <v>97.19</v>
      </c>
    </row>
    <row r="789" spans="1:2">
      <c r="A789" s="103">
        <v>40756</v>
      </c>
      <c r="B789" s="104">
        <v>86.33</v>
      </c>
    </row>
    <row r="790" spans="1:2">
      <c r="A790" s="103">
        <v>40787</v>
      </c>
      <c r="B790" s="104">
        <v>85.61</v>
      </c>
    </row>
    <row r="791" spans="1:2">
      <c r="A791" s="103">
        <v>40817</v>
      </c>
      <c r="B791" s="104">
        <v>86.41</v>
      </c>
    </row>
    <row r="792" spans="1:2">
      <c r="A792" s="103">
        <v>40848</v>
      </c>
      <c r="B792" s="104">
        <v>97.21</v>
      </c>
    </row>
    <row r="793" spans="1:2">
      <c r="A793" s="103">
        <v>40878</v>
      </c>
      <c r="B793" s="104">
        <v>98.57</v>
      </c>
    </row>
    <row r="794" spans="1:2">
      <c r="A794" s="103">
        <v>40909</v>
      </c>
      <c r="B794" s="104">
        <v>100.24</v>
      </c>
    </row>
    <row r="795" spans="1:2">
      <c r="A795" s="103">
        <v>40940</v>
      </c>
      <c r="B795" s="104">
        <v>102.25</v>
      </c>
    </row>
    <row r="796" spans="1:2">
      <c r="A796" s="103">
        <v>40969</v>
      </c>
      <c r="B796" s="104">
        <v>106.19</v>
      </c>
    </row>
    <row r="797" spans="1:2">
      <c r="A797" s="103">
        <v>41000</v>
      </c>
      <c r="B797" s="104">
        <v>103.33</v>
      </c>
    </row>
    <row r="798" spans="1:2">
      <c r="A798" s="103">
        <v>41030</v>
      </c>
      <c r="B798" s="104">
        <v>94.7</v>
      </c>
    </row>
    <row r="799" spans="1:2">
      <c r="A799" s="103">
        <v>41061</v>
      </c>
      <c r="B799" s="104">
        <v>82.41</v>
      </c>
    </row>
    <row r="800" spans="1:2">
      <c r="A800" s="103">
        <v>41091</v>
      </c>
      <c r="B800" s="104">
        <v>87.93</v>
      </c>
    </row>
    <row r="801" spans="1:2">
      <c r="A801" s="103">
        <v>41122</v>
      </c>
      <c r="B801" s="104">
        <v>94.16</v>
      </c>
    </row>
    <row r="802" spans="1:2">
      <c r="A802" s="103">
        <v>41153</v>
      </c>
      <c r="B802" s="104">
        <v>94.72</v>
      </c>
    </row>
    <row r="803" spans="1:2">
      <c r="A803" s="103">
        <v>41183</v>
      </c>
      <c r="B803" s="104">
        <v>89.57</v>
      </c>
    </row>
    <row r="804" spans="1:2">
      <c r="A804" s="103">
        <v>41214</v>
      </c>
      <c r="B804" s="104">
        <v>86.66</v>
      </c>
    </row>
    <row r="805" spans="1:2">
      <c r="A805" s="103">
        <v>41244</v>
      </c>
      <c r="B805" s="104">
        <v>88.25</v>
      </c>
    </row>
    <row r="806" spans="1:2">
      <c r="A806" s="103">
        <v>41275</v>
      </c>
      <c r="B806" s="104">
        <v>94.69</v>
      </c>
    </row>
    <row r="807" spans="1:2">
      <c r="A807" s="103">
        <v>41306</v>
      </c>
      <c r="B807" s="104">
        <v>95.32</v>
      </c>
    </row>
    <row r="808" spans="1:2">
      <c r="A808" s="103">
        <v>41334</v>
      </c>
      <c r="B808" s="104">
        <v>93.05</v>
      </c>
    </row>
    <row r="809" spans="1:2">
      <c r="A809" s="103">
        <v>41365</v>
      </c>
      <c r="B809" s="104">
        <v>92.07</v>
      </c>
    </row>
    <row r="810" spans="1:2">
      <c r="A810" s="103">
        <v>41395</v>
      </c>
      <c r="B810" s="104">
        <v>94.8</v>
      </c>
    </row>
    <row r="811" spans="1:2">
      <c r="A811" s="103">
        <v>41426</v>
      </c>
      <c r="B811" s="104">
        <v>95.8</v>
      </c>
    </row>
    <row r="812" spans="1:2">
      <c r="A812" s="103">
        <v>41456</v>
      </c>
      <c r="B812" s="104">
        <v>104.61</v>
      </c>
    </row>
    <row r="813" spans="1:2">
      <c r="A813" s="103">
        <v>41487</v>
      </c>
      <c r="B813" s="104">
        <v>106.57</v>
      </c>
    </row>
    <row r="814" spans="1:2">
      <c r="A814" s="103">
        <v>41518</v>
      </c>
      <c r="B814" s="104">
        <v>106.29</v>
      </c>
    </row>
    <row r="815" spans="1:2">
      <c r="A815" s="103">
        <v>41548</v>
      </c>
      <c r="B815" s="104">
        <v>100.54</v>
      </c>
    </row>
    <row r="816" spans="1:2">
      <c r="A816" s="103">
        <v>41579</v>
      </c>
      <c r="B816" s="104">
        <v>93.86</v>
      </c>
    </row>
    <row r="817" spans="1:2">
      <c r="A817" s="103">
        <v>41609</v>
      </c>
      <c r="B817" s="104">
        <v>97.63</v>
      </c>
    </row>
    <row r="818" spans="1:2">
      <c r="A818" s="103">
        <v>41640</v>
      </c>
      <c r="B818" s="104">
        <v>94.62</v>
      </c>
    </row>
    <row r="819" spans="1:2">
      <c r="A819" s="103">
        <v>41671</v>
      </c>
      <c r="B819" s="104">
        <v>100.82</v>
      </c>
    </row>
    <row r="820" spans="1:2">
      <c r="A820" s="103">
        <v>41699</v>
      </c>
      <c r="B820" s="104">
        <v>100.8</v>
      </c>
    </row>
    <row r="821" spans="1:2">
      <c r="A821" s="103">
        <v>41730</v>
      </c>
      <c r="B821" s="104">
        <v>102.07</v>
      </c>
    </row>
    <row r="822" spans="1:2">
      <c r="A822" s="103">
        <v>41760</v>
      </c>
      <c r="B822" s="104">
        <v>102.18</v>
      </c>
    </row>
    <row r="823" spans="1:2">
      <c r="A823" s="103">
        <v>41791</v>
      </c>
      <c r="B823" s="104">
        <v>105.79</v>
      </c>
    </row>
    <row r="824" spans="1:2">
      <c r="A824" s="103">
        <v>41821</v>
      </c>
      <c r="B824" s="104">
        <v>103.59</v>
      </c>
    </row>
    <row r="825" spans="1:2">
      <c r="A825" s="103">
        <v>41852</v>
      </c>
      <c r="B825" s="104">
        <v>96.54</v>
      </c>
    </row>
    <row r="826" spans="1:2">
      <c r="A826" s="103">
        <v>41883</v>
      </c>
      <c r="B826" s="104">
        <v>93.21</v>
      </c>
    </row>
    <row r="827" spans="1:2">
      <c r="A827" s="103">
        <v>41913</v>
      </c>
      <c r="B827" s="104">
        <v>84.4</v>
      </c>
    </row>
    <row r="828" spans="1:2">
      <c r="A828" s="103">
        <v>41944</v>
      </c>
      <c r="B828" s="104">
        <v>75.790000000000006</v>
      </c>
    </row>
    <row r="829" spans="1:2">
      <c r="A829" s="103">
        <v>41974</v>
      </c>
      <c r="B829" s="104">
        <v>59.29</v>
      </c>
    </row>
    <row r="830" spans="1:2">
      <c r="A830" s="103">
        <v>42005</v>
      </c>
      <c r="B830" s="104">
        <v>47.22</v>
      </c>
    </row>
    <row r="831" spans="1:2">
      <c r="A831" s="103">
        <v>42036</v>
      </c>
      <c r="B831" s="104">
        <v>50.58</v>
      </c>
    </row>
    <row r="832" spans="1:2">
      <c r="A832" s="103">
        <v>42064</v>
      </c>
      <c r="B832" s="104">
        <v>47.82</v>
      </c>
    </row>
    <row r="833" spans="1:2">
      <c r="A833" s="103">
        <v>42095</v>
      </c>
      <c r="B833" s="104">
        <v>54.45</v>
      </c>
    </row>
    <row r="834" spans="1:2">
      <c r="A834" s="103">
        <v>42125</v>
      </c>
      <c r="B834" s="104">
        <v>59.27</v>
      </c>
    </row>
    <row r="835" spans="1:2">
      <c r="A835" s="103">
        <v>42156</v>
      </c>
      <c r="B835" s="104">
        <v>59.82</v>
      </c>
    </row>
    <row r="836" spans="1:2">
      <c r="A836" s="103">
        <v>42186</v>
      </c>
      <c r="B836" s="104">
        <v>50.9</v>
      </c>
    </row>
    <row r="837" spans="1:2">
      <c r="A837" s="103">
        <v>42217</v>
      </c>
      <c r="B837" s="104">
        <v>42.87</v>
      </c>
    </row>
    <row r="838" spans="1:2">
      <c r="A838" s="103">
        <v>42248</v>
      </c>
      <c r="B838" s="104">
        <v>45.48</v>
      </c>
    </row>
    <row r="839" spans="1:2">
      <c r="A839" s="103">
        <v>42278</v>
      </c>
      <c r="B839" s="104">
        <v>46.22</v>
      </c>
    </row>
    <row r="840" spans="1:2">
      <c r="A840" s="103">
        <v>42309</v>
      </c>
      <c r="B840" s="104">
        <v>42.44</v>
      </c>
    </row>
    <row r="841" spans="1:2">
      <c r="A841" s="103">
        <v>42339</v>
      </c>
      <c r="B841" s="104">
        <v>37.19</v>
      </c>
    </row>
    <row r="842" spans="1:2">
      <c r="A842" s="103">
        <v>42370</v>
      </c>
      <c r="B842" s="104">
        <v>31.68</v>
      </c>
    </row>
    <row r="843" spans="1:2">
      <c r="A843" s="103">
        <v>42401</v>
      </c>
      <c r="B843" s="104">
        <v>30.32</v>
      </c>
    </row>
    <row r="844" spans="1:2">
      <c r="A844" s="103">
        <v>42430</v>
      </c>
      <c r="B844" s="104">
        <v>37.549999999999997</v>
      </c>
    </row>
    <row r="845" spans="1:2">
      <c r="A845" s="103">
        <v>42461</v>
      </c>
      <c r="B845" s="104">
        <v>40.75</v>
      </c>
    </row>
    <row r="846" spans="1:2">
      <c r="A846" s="103">
        <v>42491</v>
      </c>
      <c r="B846" s="104">
        <v>46.71</v>
      </c>
    </row>
    <row r="847" spans="1:2">
      <c r="A847" s="103">
        <v>42522</v>
      </c>
      <c r="B847" s="104">
        <v>48.76</v>
      </c>
    </row>
    <row r="848" spans="1:2">
      <c r="A848" s="103">
        <v>42552</v>
      </c>
      <c r="B848" s="104">
        <v>44.65</v>
      </c>
    </row>
    <row r="849" spans="1:2">
      <c r="A849" s="103">
        <v>42583</v>
      </c>
      <c r="B849" s="104">
        <v>44.72</v>
      </c>
    </row>
    <row r="850" spans="1:2">
      <c r="A850" s="103">
        <v>42614</v>
      </c>
      <c r="B850" s="104">
        <v>45.18</v>
      </c>
    </row>
    <row r="851" spans="1:2">
      <c r="A851" s="103">
        <v>42644</v>
      </c>
      <c r="B851" s="104">
        <v>49.78</v>
      </c>
    </row>
    <row r="852" spans="1:2">
      <c r="A852" s="103">
        <v>42675</v>
      </c>
      <c r="B852" s="104">
        <v>45.66</v>
      </c>
    </row>
    <row r="853" spans="1:2">
      <c r="A853" s="103">
        <v>42705</v>
      </c>
      <c r="B853" s="104">
        <v>51.97</v>
      </c>
    </row>
    <row r="854" spans="1:2">
      <c r="A854" s="103">
        <v>42736</v>
      </c>
      <c r="B854" s="104">
        <v>52.5</v>
      </c>
    </row>
    <row r="855" spans="1:2">
      <c r="A855" s="103">
        <v>42767</v>
      </c>
      <c r="B855" s="104">
        <v>53.47</v>
      </c>
    </row>
    <row r="856" spans="1:2">
      <c r="A856" s="103">
        <v>42795</v>
      </c>
      <c r="B856" s="104">
        <v>49.33</v>
      </c>
    </row>
    <row r="857" spans="1:2">
      <c r="A857" s="103">
        <v>42826</v>
      </c>
      <c r="B857" s="104">
        <v>51.06</v>
      </c>
    </row>
    <row r="858" spans="1:2">
      <c r="A858" s="103">
        <v>42856</v>
      </c>
      <c r="B858" s="104">
        <v>48.48</v>
      </c>
    </row>
    <row r="859" spans="1:2">
      <c r="A859" s="103">
        <v>42887</v>
      </c>
      <c r="B859" s="104">
        <v>45.18</v>
      </c>
    </row>
    <row r="860" spans="1:2">
      <c r="A860" s="103">
        <v>42917</v>
      </c>
      <c r="B860" s="104">
        <v>46.63</v>
      </c>
    </row>
    <row r="861" spans="1:2">
      <c r="A861" s="103">
        <v>42948</v>
      </c>
      <c r="B861" s="104">
        <v>48.04</v>
      </c>
    </row>
    <row r="862" spans="1:2">
      <c r="A862" s="103">
        <v>42979</v>
      </c>
      <c r="B862" s="104">
        <v>49.82</v>
      </c>
    </row>
    <row r="863" spans="1:2">
      <c r="A863" s="103">
        <v>43009</v>
      </c>
      <c r="B863" s="104">
        <v>51.58</v>
      </c>
    </row>
    <row r="864" spans="1:2">
      <c r="A864" s="103">
        <v>43040</v>
      </c>
      <c r="B864" s="104">
        <v>56.64</v>
      </c>
    </row>
    <row r="865" spans="1:2">
      <c r="A865" s="103">
        <v>43070</v>
      </c>
      <c r="B865" s="104">
        <v>57.88</v>
      </c>
    </row>
    <row r="866" spans="1:2">
      <c r="A866" s="103">
        <v>43101</v>
      </c>
      <c r="B866" s="104">
        <v>63.7</v>
      </c>
    </row>
    <row r="867" spans="1:2">
      <c r="A867" s="103">
        <v>43132</v>
      </c>
      <c r="B867" s="104">
        <v>62.23</v>
      </c>
    </row>
    <row r="868" spans="1:2">
      <c r="A868" s="103">
        <v>43160</v>
      </c>
      <c r="B868" s="104">
        <v>62.73</v>
      </c>
    </row>
    <row r="869" spans="1:2">
      <c r="A869" s="103">
        <v>43191</v>
      </c>
      <c r="B869" s="104">
        <v>66.25</v>
      </c>
    </row>
    <row r="870" spans="1:2">
      <c r="A870" s="103">
        <v>43221</v>
      </c>
      <c r="B870" s="104">
        <v>69.98</v>
      </c>
    </row>
    <row r="871" spans="1:2">
      <c r="A871" s="103">
        <v>43252</v>
      </c>
      <c r="B871" s="104">
        <v>67.87</v>
      </c>
    </row>
    <row r="872" spans="1:2">
      <c r="A872" s="103">
        <v>43282</v>
      </c>
      <c r="B872" s="104">
        <v>70.98</v>
      </c>
    </row>
    <row r="873" spans="1:2">
      <c r="A873" s="103">
        <v>43313</v>
      </c>
      <c r="B873" s="104">
        <v>68.06</v>
      </c>
    </row>
    <row r="874" spans="1:2">
      <c r="A874" s="103">
        <v>43344</v>
      </c>
      <c r="B874" s="104">
        <v>70.23</v>
      </c>
    </row>
    <row r="875" spans="1:2">
      <c r="A875" s="103">
        <v>43374</v>
      </c>
      <c r="B875" s="104">
        <v>70.75</v>
      </c>
    </row>
    <row r="876" spans="1:2">
      <c r="A876" s="103">
        <v>43405</v>
      </c>
      <c r="B876" s="104">
        <v>56.96</v>
      </c>
    </row>
    <row r="877" spans="1:2">
      <c r="A877" s="103">
        <v>43435</v>
      </c>
      <c r="B877" s="104">
        <v>49.52</v>
      </c>
    </row>
    <row r="878" spans="1:2">
      <c r="A878" s="103">
        <v>43466</v>
      </c>
      <c r="B878" s="104">
        <v>51.38</v>
      </c>
    </row>
    <row r="879" spans="1:2">
      <c r="A879" s="103">
        <v>43497</v>
      </c>
      <c r="B879" s="104">
        <v>54.95</v>
      </c>
    </row>
    <row r="880" spans="1:2">
      <c r="A880" s="103">
        <v>43525</v>
      </c>
      <c r="B880" s="104">
        <v>58.15</v>
      </c>
    </row>
    <row r="881" spans="1:2">
      <c r="A881" s="103">
        <v>43556</v>
      </c>
      <c r="B881" s="104">
        <v>63.86</v>
      </c>
    </row>
    <row r="882" spans="1:2">
      <c r="A882" s="103">
        <v>43586</v>
      </c>
      <c r="B882" s="104">
        <v>60.83</v>
      </c>
    </row>
    <row r="883" spans="1:2">
      <c r="A883" s="103">
        <v>43617</v>
      </c>
      <c r="B883" s="104">
        <v>54.66</v>
      </c>
    </row>
    <row r="884" spans="1:2">
      <c r="A884" s="103">
        <v>43647</v>
      </c>
      <c r="B884" s="104">
        <v>57.35</v>
      </c>
    </row>
    <row r="885" spans="1:2">
      <c r="A885" s="103">
        <v>43678</v>
      </c>
      <c r="B885" s="104">
        <v>54.81</v>
      </c>
    </row>
    <row r="886" spans="1:2">
      <c r="A886" s="103">
        <v>43709</v>
      </c>
      <c r="B886" s="104">
        <v>56.95</v>
      </c>
    </row>
    <row r="887" spans="1:2">
      <c r="A887" s="103">
        <v>43739</v>
      </c>
      <c r="B887" s="104">
        <v>53.96</v>
      </c>
    </row>
    <row r="888" spans="1:2">
      <c r="A888" s="103">
        <v>43770</v>
      </c>
      <c r="B888" s="104">
        <v>57.03</v>
      </c>
    </row>
    <row r="889" spans="1:2">
      <c r="A889" s="103">
        <v>43800</v>
      </c>
      <c r="B889" s="104">
        <v>59.88</v>
      </c>
    </row>
    <row r="890" spans="1:2">
      <c r="A890" s="103">
        <v>43831</v>
      </c>
      <c r="B890" s="104">
        <v>57.52</v>
      </c>
    </row>
    <row r="891" spans="1:2">
      <c r="A891" s="103">
        <v>43862</v>
      </c>
      <c r="B891" s="104">
        <v>50.54</v>
      </c>
    </row>
    <row r="892" spans="1:2">
      <c r="A892" s="103">
        <v>43891</v>
      </c>
      <c r="B892" s="104">
        <v>29.21</v>
      </c>
    </row>
    <row r="893" spans="1:2">
      <c r="A893" s="103">
        <v>43922</v>
      </c>
      <c r="B893" s="104">
        <v>16.55</v>
      </c>
    </row>
    <row r="894" spans="1:2">
      <c r="A894" s="103">
        <v>43952</v>
      </c>
      <c r="B894" s="104">
        <v>28.56</v>
      </c>
    </row>
    <row r="895" spans="1:2">
      <c r="A895" s="103">
        <v>43983</v>
      </c>
      <c r="B895" s="104">
        <v>38.31</v>
      </c>
    </row>
    <row r="896" spans="1:2">
      <c r="A896" s="103">
        <v>44013</v>
      </c>
      <c r="B896" s="104">
        <v>40.71</v>
      </c>
    </row>
    <row r="897" spans="1:2">
      <c r="A897" s="103">
        <v>44044</v>
      </c>
      <c r="B897" s="104">
        <v>42.34</v>
      </c>
    </row>
    <row r="898" spans="1:2">
      <c r="A898" s="103">
        <v>44075</v>
      </c>
      <c r="B898" s="104">
        <v>39.630000000000003</v>
      </c>
    </row>
    <row r="899" spans="1:2">
      <c r="A899" s="103">
        <v>44105</v>
      </c>
      <c r="B899" s="104">
        <v>39.4</v>
      </c>
    </row>
    <row r="900" spans="1:2">
      <c r="A900" s="103">
        <v>44136</v>
      </c>
      <c r="B900" s="104">
        <v>40.94</v>
      </c>
    </row>
    <row r="901" spans="1:2">
      <c r="A901" s="103">
        <v>44166</v>
      </c>
      <c r="B901" s="104">
        <v>47.02</v>
      </c>
    </row>
    <row r="902" spans="1:2">
      <c r="A902" s="103">
        <v>44197</v>
      </c>
      <c r="B902" s="104">
        <v>52</v>
      </c>
    </row>
    <row r="903" spans="1:2">
      <c r="A903" s="103">
        <v>44228</v>
      </c>
      <c r="B903" s="104">
        <v>59.04</v>
      </c>
    </row>
    <row r="904" spans="1:2">
      <c r="A904" s="103">
        <v>44256</v>
      </c>
      <c r="B904" s="104">
        <v>62.33</v>
      </c>
    </row>
    <row r="905" spans="1:2">
      <c r="A905" s="103">
        <v>44287</v>
      </c>
      <c r="B905" s="104">
        <v>61.72</v>
      </c>
    </row>
    <row r="906" spans="1:2">
      <c r="A906" s="103">
        <v>44317</v>
      </c>
      <c r="B906" s="104">
        <v>65.17</v>
      </c>
    </row>
    <row r="907" spans="1:2">
      <c r="A907" s="103">
        <v>44348</v>
      </c>
      <c r="B907" s="104">
        <v>71.38</v>
      </c>
    </row>
    <row r="908" spans="1:2">
      <c r="A908" s="103">
        <v>44378</v>
      </c>
      <c r="B908" s="104">
        <v>72.489999999999995</v>
      </c>
    </row>
    <row r="909" spans="1:2">
      <c r="A909" s="103">
        <v>44409</v>
      </c>
      <c r="B909" s="104">
        <v>67.73</v>
      </c>
    </row>
    <row r="910" spans="1:2">
      <c r="A910" s="103">
        <v>44440</v>
      </c>
      <c r="B910" s="104">
        <v>71.650000000000006</v>
      </c>
    </row>
    <row r="911" spans="1:2">
      <c r="A911" s="103">
        <v>44470</v>
      </c>
      <c r="B911" s="104">
        <v>81.48</v>
      </c>
    </row>
    <row r="912" spans="1:2">
      <c r="A912" s="103">
        <v>44501</v>
      </c>
      <c r="B912" s="104">
        <v>79.150000000000006</v>
      </c>
    </row>
    <row r="913" spans="1:2">
      <c r="A913" s="103">
        <v>44531</v>
      </c>
      <c r="B913" s="104">
        <v>71.709999999999994</v>
      </c>
    </row>
    <row r="914" spans="1:2">
      <c r="A914" s="103">
        <v>44562</v>
      </c>
      <c r="B914" s="104">
        <v>83.22</v>
      </c>
    </row>
    <row r="915" spans="1:2">
      <c r="A915" s="103">
        <v>44593</v>
      </c>
      <c r="B915" s="104">
        <v>91.64</v>
      </c>
    </row>
    <row r="916" spans="1:2">
      <c r="A916" s="103">
        <v>44621</v>
      </c>
      <c r="B916" s="104">
        <v>108.5</v>
      </c>
    </row>
    <row r="917" spans="1:2">
      <c r="A917" s="103">
        <v>44652</v>
      </c>
      <c r="B917" s="104">
        <v>101.78</v>
      </c>
    </row>
    <row r="918" spans="1:2">
      <c r="A918" s="103">
        <v>44682</v>
      </c>
      <c r="B918" s="104">
        <v>109.55</v>
      </c>
    </row>
    <row r="919" spans="1:2">
      <c r="A919" s="103">
        <v>44713</v>
      </c>
      <c r="B919" s="104">
        <v>114.84</v>
      </c>
    </row>
    <row r="920" spans="1:2">
      <c r="A920" s="103">
        <v>44743</v>
      </c>
      <c r="B920" s="104">
        <v>101.62</v>
      </c>
    </row>
    <row r="921" spans="1:2">
      <c r="A921" s="103">
        <v>44774</v>
      </c>
      <c r="B921" s="104">
        <v>93.67</v>
      </c>
    </row>
    <row r="922" spans="1:2">
      <c r="A922" s="103">
        <v>44805</v>
      </c>
      <c r="B922" s="104">
        <v>84.26</v>
      </c>
    </row>
    <row r="923" spans="1:2">
      <c r="A923" s="103">
        <v>44835</v>
      </c>
      <c r="B923" s="104">
        <v>87.55</v>
      </c>
    </row>
    <row r="924" spans="1:2">
      <c r="A924" s="103">
        <v>44866</v>
      </c>
      <c r="B924" s="104">
        <v>84.37</v>
      </c>
    </row>
    <row r="925" spans="1:2">
      <c r="A925" s="103">
        <v>44896</v>
      </c>
      <c r="B925" s="104">
        <v>76.44</v>
      </c>
    </row>
    <row r="926" spans="1:2">
      <c r="A926" s="103">
        <v>44927</v>
      </c>
      <c r="B926" s="104">
        <v>78.12</v>
      </c>
    </row>
    <row r="927" spans="1:2">
      <c r="A927" s="103">
        <v>44958</v>
      </c>
      <c r="B927" s="104">
        <v>76.83</v>
      </c>
    </row>
    <row r="928" spans="1:2">
      <c r="A928" s="103">
        <v>44986</v>
      </c>
      <c r="B928" s="104">
        <v>73.28</v>
      </c>
    </row>
    <row r="929" spans="1:2">
      <c r="A929" s="103">
        <v>45017</v>
      </c>
      <c r="B929" s="104">
        <v>79.45</v>
      </c>
    </row>
    <row r="930" spans="1:2">
      <c r="A930" s="103">
        <v>45047</v>
      </c>
      <c r="B930" s="104">
        <v>71.58</v>
      </c>
    </row>
    <row r="931" spans="1:2">
      <c r="A931" s="103">
        <v>45078</v>
      </c>
      <c r="B931" s="104">
        <v>70.25</v>
      </c>
    </row>
    <row r="932" spans="1:2">
      <c r="A932" s="103">
        <v>45108</v>
      </c>
      <c r="B932" s="104">
        <v>76.069999999999993</v>
      </c>
    </row>
    <row r="933" spans="1:2">
      <c r="A933" s="103">
        <v>45139</v>
      </c>
      <c r="B933" s="104">
        <v>81.39</v>
      </c>
    </row>
    <row r="934" spans="1:2">
      <c r="A934" s="103">
        <v>45170</v>
      </c>
      <c r="B934" s="104">
        <v>89.43</v>
      </c>
    </row>
    <row r="935" spans="1:2">
      <c r="A935" s="103">
        <v>45200</v>
      </c>
      <c r="B935" s="104">
        <v>85.64</v>
      </c>
    </row>
    <row r="936" spans="1:2">
      <c r="A936" s="103">
        <v>45231</v>
      </c>
      <c r="B936" s="104">
        <v>77.69</v>
      </c>
    </row>
    <row r="937" spans="1:2">
      <c r="A937" s="103">
        <v>45261</v>
      </c>
      <c r="B937" s="104">
        <v>71.900000000000006</v>
      </c>
    </row>
    <row r="938" spans="1:2">
      <c r="A938" s="103">
        <v>45292</v>
      </c>
      <c r="B938" s="104">
        <v>74.150000000000006</v>
      </c>
    </row>
    <row r="939" spans="1:2">
      <c r="A939" s="103">
        <v>45323</v>
      </c>
      <c r="B939" s="104">
        <v>77.25</v>
      </c>
    </row>
    <row r="940" spans="1:2">
      <c r="A940" s="103">
        <v>45352</v>
      </c>
      <c r="B940" s="104">
        <v>81.28</v>
      </c>
    </row>
    <row r="941" spans="1:2">
      <c r="A941" s="103">
        <v>45383</v>
      </c>
      <c r="B941" s="104">
        <v>85.35</v>
      </c>
    </row>
    <row r="942" spans="1:2">
      <c r="A942" s="103">
        <v>45413</v>
      </c>
      <c r="B942" s="104">
        <v>80.02</v>
      </c>
    </row>
    <row r="943" spans="1:2">
      <c r="A943" s="103">
        <v>45444</v>
      </c>
      <c r="B943" s="104">
        <v>79.77</v>
      </c>
    </row>
    <row r="944" spans="1:2">
      <c r="A944" s="103">
        <v>45474</v>
      </c>
      <c r="B944" s="104">
        <v>81.8</v>
      </c>
    </row>
    <row r="945" spans="1:5">
      <c r="A945" s="103">
        <v>45505</v>
      </c>
      <c r="B945" s="104">
        <v>76.680000000000007</v>
      </c>
    </row>
    <row r="946" spans="1:5">
      <c r="A946" s="103">
        <v>45536</v>
      </c>
      <c r="B946" s="104">
        <v>70.239999999999995</v>
      </c>
    </row>
    <row r="947" spans="1:5">
      <c r="A947" s="103">
        <v>45566</v>
      </c>
      <c r="B947" s="104">
        <v>71.989999999999995</v>
      </c>
    </row>
    <row r="948" spans="1:5">
      <c r="A948" s="103">
        <v>45597</v>
      </c>
      <c r="B948" s="104">
        <v>69.95</v>
      </c>
    </row>
    <row r="949" spans="1:5">
      <c r="A949" s="103">
        <v>45627</v>
      </c>
      <c r="B949" s="104">
        <v>70.12</v>
      </c>
    </row>
    <row r="950" spans="1:5">
      <c r="A950" s="103">
        <v>45658</v>
      </c>
      <c r="B950" s="104">
        <v>75.739999999999995</v>
      </c>
      <c r="C950" s="104">
        <v>75.739999999999995</v>
      </c>
      <c r="D950" s="104">
        <v>75.739999999999995</v>
      </c>
      <c r="E950" s="104">
        <v>75.739999999999995</v>
      </c>
    </row>
    <row r="951" spans="1:5">
      <c r="A951" s="103">
        <v>45689</v>
      </c>
      <c r="C951" s="104">
        <f>_xlfn.FORECAST.ETS(A951,$B$2:$B$950,$A$2:$A$950,12,1)</f>
        <v>74.413451851955628</v>
      </c>
      <c r="D951" s="104">
        <f>C951-_xlfn.FORECAST.ETS.CONFINT(A951,$B$2:$B$950,$A$2:$A$950,0.95,12,1)</f>
        <v>62.581255740081062</v>
      </c>
      <c r="E951" s="104">
        <f>C951+_xlfn.FORECAST.ETS.CONFINT(A951,$B$2:$B$950,$A$2:$A$950,0.95,12,1)</f>
        <v>86.245647963830194</v>
      </c>
    </row>
    <row r="952" spans="1:5">
      <c r="A952" s="103">
        <v>45717</v>
      </c>
      <c r="C952" s="104">
        <f>_xlfn.FORECAST.ETS(A952,$B$2:$B$950,$A$2:$A$950,12,1)</f>
        <v>74.539666661559693</v>
      </c>
      <c r="D952" s="104">
        <f>C952-_xlfn.FORECAST.ETS.CONFINT(A952,$B$2:$B$950,$A$2:$A$950,0.95,12,1)</f>
        <v>62.337557018140849</v>
      </c>
      <c r="E952" s="104">
        <f>C952+_xlfn.FORECAST.ETS.CONFINT(A952,$B$2:$B$950,$A$2:$A$950,0.95,12,1)</f>
        <v>86.741776304978529</v>
      </c>
    </row>
    <row r="953" spans="1:5">
      <c r="A953" s="103">
        <v>45748</v>
      </c>
      <c r="C953" s="104">
        <f>_xlfn.FORECAST.ETS(A953,$B$2:$B$950,$A$2:$A$950,12,1)</f>
        <v>74.726569512616635</v>
      </c>
      <c r="D953" s="104">
        <f>C953-_xlfn.FORECAST.ETS.CONFINT(A953,$B$2:$B$950,$A$2:$A$950,0.95,12,1)</f>
        <v>62.162621283381142</v>
      </c>
      <c r="E953" s="104">
        <f>C953+_xlfn.FORECAST.ETS.CONFINT(A953,$B$2:$B$950,$A$2:$A$950,0.95,12,1)</f>
        <v>87.290517741852128</v>
      </c>
    </row>
    <row r="954" spans="1:5">
      <c r="A954" s="103">
        <v>45778</v>
      </c>
      <c r="C954" s="104">
        <f>_xlfn.FORECAST.ETS(A954,$B$2:$B$950,$A$2:$A$950,12,1)</f>
        <v>74.808914664813244</v>
      </c>
      <c r="D954" s="104">
        <f>C954-_xlfn.FORECAST.ETS.CONFINT(A954,$B$2:$B$950,$A$2:$A$950,0.95,12,1)</f>
        <v>61.89051341302234</v>
      </c>
      <c r="E954" s="104">
        <f>C954+_xlfn.FORECAST.ETS.CONFINT(A954,$B$2:$B$950,$A$2:$A$950,0.95,12,1)</f>
        <v>87.727315916604141</v>
      </c>
    </row>
    <row r="955" spans="1:5">
      <c r="A955" s="103">
        <v>45809</v>
      </c>
      <c r="C955" s="104">
        <f>_xlfn.FORECAST.ETS(A955,$B$2:$B$950,$A$2:$A$950,12,1)</f>
        <v>74.782369024350217</v>
      </c>
      <c r="D955" s="104">
        <f>C955-_xlfn.FORECAST.ETS.CONFINT(A955,$B$2:$B$950,$A$2:$A$950,0.95,12,1)</f>
        <v>61.516297746920927</v>
      </c>
      <c r="E955" s="104">
        <f>C955+_xlfn.FORECAST.ETS.CONFINT(A955,$B$2:$B$950,$A$2:$A$950,0.95,12,1)</f>
        <v>88.048440301779507</v>
      </c>
    </row>
    <row r="956" spans="1:5">
      <c r="A956" s="103">
        <v>45839</v>
      </c>
      <c r="C956" s="104">
        <f>_xlfn.FORECAST.ETS(A956,$B$2:$B$950,$A$2:$A$950,12,1)</f>
        <v>74.840366088135767</v>
      </c>
      <c r="D956" s="104">
        <f>C956-_xlfn.FORECAST.ETS.CONFINT(A956,$B$2:$B$950,$A$2:$A$950,0.95,12,1)</f>
        <v>61.232877568378562</v>
      </c>
      <c r="E956" s="104">
        <f>C956+_xlfn.FORECAST.ETS.CONFINT(A956,$B$2:$B$950,$A$2:$A$950,0.95,12,1)</f>
        <v>88.447854607892964</v>
      </c>
    </row>
    <row r="957" spans="1:5">
      <c r="A957" s="103">
        <v>45870</v>
      </c>
      <c r="C957" s="104">
        <f>_xlfn.FORECAST.ETS(A957,$B$2:$B$950,$A$2:$A$950,12,1)</f>
        <v>74.945379611292438</v>
      </c>
      <c r="D957" s="104">
        <f>C957-_xlfn.FORECAST.ETS.CONFINT(A957,$B$2:$B$950,$A$2:$A$950,0.95,12,1)</f>
        <v>61.002257258803681</v>
      </c>
      <c r="E957" s="104">
        <f>C957+_xlfn.FORECAST.ETS.CONFINT(A957,$B$2:$B$950,$A$2:$A$950,0.95,12,1)</f>
        <v>88.888501963781195</v>
      </c>
    </row>
    <row r="958" spans="1:5">
      <c r="A958" s="103">
        <v>45901</v>
      </c>
      <c r="C958" s="104">
        <f>_xlfn.FORECAST.ETS(A958,$B$2:$B$950,$A$2:$A$950,12,1)</f>
        <v>74.993043716731677</v>
      </c>
      <c r="D958" s="104">
        <f>C958-_xlfn.FORECAST.ETS.CONFINT(A958,$B$2:$B$950,$A$2:$A$950,0.95,12,1)</f>
        <v>60.719653141854025</v>
      </c>
      <c r="E958" s="104">
        <f>C958+_xlfn.FORECAST.ETS.CONFINT(A958,$B$2:$B$950,$A$2:$A$950,0.95,12,1)</f>
        <v>89.266434291609329</v>
      </c>
    </row>
    <row r="959" spans="1:5">
      <c r="A959" s="103">
        <v>45931</v>
      </c>
      <c r="C959" s="104">
        <f>_xlfn.FORECAST.ETS(A959,$B$2:$B$950,$A$2:$A$950,12,1)</f>
        <v>75.041625899727066</v>
      </c>
      <c r="D959" s="104">
        <f>C959-_xlfn.FORECAST.ETS.CONFINT(A959,$B$2:$B$950,$A$2:$A$950,0.95,12,1)</f>
        <v>60.442958956589479</v>
      </c>
      <c r="E959" s="104">
        <f>C959+_xlfn.FORECAST.ETS.CONFINT(A959,$B$2:$B$950,$A$2:$A$950,0.95,12,1)</f>
        <v>89.640292842864653</v>
      </c>
    </row>
    <row r="960" spans="1:5">
      <c r="A960" s="103">
        <v>45962</v>
      </c>
      <c r="C960" s="104">
        <f>_xlfn.FORECAST.ETS(A960,$B$2:$B$950,$A$2:$A$950,12,1)</f>
        <v>75.108383334022761</v>
      </c>
      <c r="D960" s="104">
        <f>C960-_xlfn.FORECAST.ETS.CONFINT(A960,$B$2:$B$950,$A$2:$A$950,0.95,12,1)</f>
        <v>60.189095985789379</v>
      </c>
      <c r="E960" s="104">
        <f>C960+_xlfn.FORECAST.ETS.CONFINT(A960,$B$2:$B$950,$A$2:$A$950,0.95,12,1)</f>
        <v>90.027670682256144</v>
      </c>
    </row>
    <row r="961" spans="1:5">
      <c r="A961" s="103">
        <v>45992</v>
      </c>
      <c r="C961" s="104">
        <f>_xlfn.FORECAST.ETS(A961,$B$2:$B$950,$A$2:$A$950,12,1)</f>
        <v>75.15553435182693</v>
      </c>
      <c r="D961" s="104">
        <f>C961-_xlfn.FORECAST.ETS.CONFINT(A961,$B$2:$B$950,$A$2:$A$950,0.95,12,1)</f>
        <v>59.919979426185677</v>
      </c>
      <c r="E961" s="104">
        <f>C961+_xlfn.FORECAST.ETS.CONFINT(A961,$B$2:$B$950,$A$2:$A$950,0.95,12,1)</f>
        <v>90.391089277468183</v>
      </c>
    </row>
    <row r="962" spans="1:5">
      <c r="A962" s="103">
        <v>46023</v>
      </c>
      <c r="C962" s="104">
        <f>_xlfn.FORECAST.ETS(A962,$B$2:$B$950,$A$2:$A$950,12,1)</f>
        <v>75.443081917180947</v>
      </c>
      <c r="D962" s="104">
        <f>C962-_xlfn.FORECAST.ETS.CONFINT(A962,$B$2:$B$950,$A$2:$A$950,0.95,12,1)</f>
        <v>59.89533760304932</v>
      </c>
      <c r="E962" s="104">
        <f>C962+_xlfn.FORECAST.ETS.CONFINT(A962,$B$2:$B$950,$A$2:$A$950,0.95,12,1)</f>
        <v>90.990826231312582</v>
      </c>
    </row>
    <row r="963" spans="1:5">
      <c r="A963" s="103">
        <v>46054</v>
      </c>
      <c r="C963" s="104">
        <f>_xlfn.FORECAST.ETS(A963,$B$2:$B$950,$A$2:$A$950,12,1)</f>
        <v>75.543518350105757</v>
      </c>
      <c r="D963" s="104">
        <f>C963-_xlfn.FORECAST.ETS.CONFINT(A963,$B$2:$B$950,$A$2:$A$950,0.95,12,1)</f>
        <v>59.685086727376031</v>
      </c>
      <c r="E963" s="104">
        <f>C963+_xlfn.FORECAST.ETS.CONFINT(A963,$B$2:$B$950,$A$2:$A$950,0.95,12,1)</f>
        <v>91.401949972835482</v>
      </c>
    </row>
    <row r="964" spans="1:5">
      <c r="A964" s="103">
        <v>46082</v>
      </c>
      <c r="C964" s="104">
        <f>_xlfn.FORECAST.ETS(A964,$B$2:$B$950,$A$2:$A$950,12,1)</f>
        <v>75.669733159709821</v>
      </c>
      <c r="D964" s="104">
        <f>C964-_xlfn.FORECAST.ETS.CONFINT(A964,$B$2:$B$950,$A$2:$A$950,0.95,12,1)</f>
        <v>59.50658514306479</v>
      </c>
      <c r="E964" s="104">
        <f>C964+_xlfn.FORECAST.ETS.CONFINT(A964,$B$2:$B$950,$A$2:$A$950,0.95,12,1)</f>
        <v>91.832881176354846</v>
      </c>
    </row>
    <row r="965" spans="1:5">
      <c r="A965" s="103">
        <v>46113</v>
      </c>
      <c r="C965" s="104">
        <f>_xlfn.FORECAST.ETS(A965,$B$2:$B$950,$A$2:$A$950,12,1)</f>
        <v>75.856636010766749</v>
      </c>
      <c r="D965" s="104">
        <f>C965-_xlfn.FORECAST.ETS.CONFINT(A965,$B$2:$B$950,$A$2:$A$950,0.95,12,1)</f>
        <v>59.392161693599704</v>
      </c>
      <c r="E965" s="104">
        <f>C965+_xlfn.FORECAST.ETS.CONFINT(A965,$B$2:$B$950,$A$2:$A$950,0.95,12,1)</f>
        <v>92.321110327933795</v>
      </c>
    </row>
    <row r="966" spans="1:5">
      <c r="A966" s="103">
        <v>46143</v>
      </c>
      <c r="C966" s="104">
        <f>_xlfn.FORECAST.ETS(A966,$B$2:$B$950,$A$2:$A$950,12,1)</f>
        <v>75.938981162963358</v>
      </c>
      <c r="D966" s="104">
        <f>C966-_xlfn.FORECAST.ETS.CONFINT(A966,$B$2:$B$950,$A$2:$A$950,0.95,12,1)</f>
        <v>59.176379463568523</v>
      </c>
      <c r="E966" s="104">
        <f>C966+_xlfn.FORECAST.ETS.CONFINT(A966,$B$2:$B$950,$A$2:$A$950,0.95,12,1)</f>
        <v>92.701582862358194</v>
      </c>
    </row>
    <row r="967" spans="1:5">
      <c r="A967" s="103">
        <v>46174</v>
      </c>
      <c r="C967" s="104">
        <f>_xlfn.FORECAST.ETS(A967,$B$2:$B$950,$A$2:$A$950,12,1)</f>
        <v>75.912435522500331</v>
      </c>
      <c r="D967" s="104">
        <f>C967-_xlfn.FORECAST.ETS.CONFINT(A967,$B$2:$B$950,$A$2:$A$950,0.95,12,1)</f>
        <v>58.854729422751447</v>
      </c>
      <c r="E967" s="104">
        <f>C967+_xlfn.FORECAST.ETS.CONFINT(A967,$B$2:$B$950,$A$2:$A$950,0.95,12,1)</f>
        <v>92.970141622249216</v>
      </c>
    </row>
    <row r="968" spans="1:5">
      <c r="A968" s="103">
        <v>46204</v>
      </c>
      <c r="C968" s="104">
        <f>_xlfn.FORECAST.ETS(A968,$B$2:$B$950,$A$2:$A$950,12,1)</f>
        <v>75.970432586285895</v>
      </c>
      <c r="D968" s="104">
        <f>C968-_xlfn.FORECAST.ETS.CONFINT(A968,$B$2:$B$950,$A$2:$A$950,0.95,12,1)</f>
        <v>58.620482744832458</v>
      </c>
      <c r="E968" s="104">
        <f>C968+_xlfn.FORECAST.ETS.CONFINT(A968,$B$2:$B$950,$A$2:$A$950,0.95,12,1)</f>
        <v>93.320382427739332</v>
      </c>
    </row>
    <row r="969" spans="1:5">
      <c r="A969" s="103">
        <v>46235</v>
      </c>
      <c r="C969" s="104">
        <f>_xlfn.FORECAST.ETS(A969,$B$2:$B$950,$A$2:$A$950,12,1)</f>
        <v>76.075446109442566</v>
      </c>
      <c r="D969" s="104">
        <f>C969-_xlfn.FORECAST.ETS.CONFINT(A969,$B$2:$B$950,$A$2:$A$950,0.95,12,1)</f>
        <v>58.435963064837665</v>
      </c>
      <c r="E969" s="104">
        <f>C969+_xlfn.FORECAST.ETS.CONFINT(A969,$B$2:$B$950,$A$2:$A$950,0.95,12,1)</f>
        <v>93.714929154047468</v>
      </c>
    </row>
    <row r="970" spans="1:5">
      <c r="A970" s="103">
        <v>46266</v>
      </c>
      <c r="C970" s="104">
        <f>_xlfn.FORECAST.ETS(A970,$B$2:$B$950,$A$2:$A$950,12,1)</f>
        <v>76.123110214881791</v>
      </c>
      <c r="D970" s="104">
        <f>C970-_xlfn.FORECAST.ETS.CONFINT(A970,$B$2:$B$950,$A$2:$A$950,0.95,12,1)</f>
        <v>58.196665360226405</v>
      </c>
      <c r="E970" s="104">
        <f>C970+_xlfn.FORECAST.ETS.CONFINT(A970,$B$2:$B$950,$A$2:$A$950,0.95,12,1)</f>
        <v>94.049555069537178</v>
      </c>
    </row>
    <row r="971" spans="1:5">
      <c r="A971" s="103">
        <v>46296</v>
      </c>
      <c r="C971" s="104">
        <f>_xlfn.FORECAST.ETS(A971,$B$2:$B$950,$A$2:$A$950,12,1)</f>
        <v>76.17169239787718</v>
      </c>
      <c r="D971" s="104">
        <f>C971-_xlfn.FORECAST.ETS.CONFINT(A971,$B$2:$B$950,$A$2:$A$950,0.95,12,1)</f>
        <v>57.960727880834966</v>
      </c>
      <c r="E971" s="104">
        <f>C971+_xlfn.FORECAST.ETS.CONFINT(A971,$B$2:$B$950,$A$2:$A$950,0.95,12,1)</f>
        <v>94.382656914919394</v>
      </c>
    </row>
    <row r="972" spans="1:5">
      <c r="A972" s="103">
        <v>46327</v>
      </c>
      <c r="C972" s="104">
        <f>_xlfn.FORECAST.ETS(A972,$B$2:$B$950,$A$2:$A$950,12,1)</f>
        <v>76.238449832172876</v>
      </c>
      <c r="D972" s="104">
        <f>C972-_xlfn.FORECAST.ETS.CONFINT(A972,$B$2:$B$950,$A$2:$A$950,0.95,12,1)</f>
        <v>57.74528751134352</v>
      </c>
      <c r="E972" s="104">
        <f>C972+_xlfn.FORECAST.ETS.CONFINT(A972,$B$2:$B$950,$A$2:$A$950,0.95,12,1)</f>
        <v>94.731612153002231</v>
      </c>
    </row>
    <row r="973" spans="1:5">
      <c r="A973" s="103">
        <v>46357</v>
      </c>
      <c r="C973" s="104">
        <f>_xlfn.FORECAST.ETS(A973,$B$2:$B$950,$A$2:$A$950,12,1)</f>
        <v>76.285600849977044</v>
      </c>
      <c r="D973" s="104">
        <f>C973-_xlfn.FORECAST.ETS.CONFINT(A973,$B$2:$B$950,$A$2:$A$950,0.95,12,1)</f>
        <v>57.512450419656432</v>
      </c>
      <c r="E973" s="104">
        <f>C973+_xlfn.FORECAST.ETS.CONFINT(A973,$B$2:$B$950,$A$2:$A$950,0.95,12,1)</f>
        <v>95.058751280297656</v>
      </c>
    </row>
    <row r="974" spans="1:5">
      <c r="A974" s="103">
        <v>46388</v>
      </c>
      <c r="C974" s="104">
        <f>_xlfn.FORECAST.ETS(A974,$B$2:$B$950,$A$2:$A$950,12,1)</f>
        <v>76.573148415331076</v>
      </c>
      <c r="D974" s="104">
        <f>C974-_xlfn.FORECAST.ETS.CONFINT(A974,$B$2:$B$950,$A$2:$A$950,0.95,12,1)</f>
        <v>57.522114794883763</v>
      </c>
      <c r="E974" s="104">
        <f>C974+_xlfn.FORECAST.ETS.CONFINT(A974,$B$2:$B$950,$A$2:$A$950,0.95,12,1)</f>
        <v>95.624182035778389</v>
      </c>
    </row>
    <row r="975" spans="1:5">
      <c r="A975" s="103">
        <v>46419</v>
      </c>
      <c r="C975" s="104">
        <f>_xlfn.FORECAST.ETS(A975,$B$2:$B$950,$A$2:$A$950,12,1)</f>
        <v>76.673584848255871</v>
      </c>
      <c r="D975" s="104">
        <f>C975-_xlfn.FORECAST.ETS.CONFINT(A975,$B$2:$B$950,$A$2:$A$950,0.95,12,1)</f>
        <v>57.344679346735788</v>
      </c>
      <c r="E975" s="104">
        <f>C975+_xlfn.FORECAST.ETS.CONFINT(A975,$B$2:$B$950,$A$2:$A$950,0.95,12,1)</f>
        <v>96.002490349775954</v>
      </c>
    </row>
    <row r="976" spans="1:5">
      <c r="A976" s="103">
        <v>46447</v>
      </c>
      <c r="C976" s="104">
        <f>_xlfn.FORECAST.ETS(A976,$B$2:$B$950,$A$2:$A$950,12,1)</f>
        <v>76.799799657859936</v>
      </c>
      <c r="D976" s="104">
        <f>C976-_xlfn.FORECAST.ETS.CONFINT(A976,$B$2:$B$950,$A$2:$A$950,0.95,12,1)</f>
        <v>57.196960736775765</v>
      </c>
      <c r="E976" s="104">
        <f>C976+_xlfn.FORECAST.ETS.CONFINT(A976,$B$2:$B$950,$A$2:$A$950,0.95,12,1)</f>
        <v>96.402638578944106</v>
      </c>
    </row>
    <row r="977" spans="1:5">
      <c r="A977" s="103">
        <v>46478</v>
      </c>
      <c r="C977" s="104">
        <f>_xlfn.FORECAST.ETS(A977,$B$2:$B$950,$A$2:$A$950,12,1)</f>
        <v>76.986702508916864</v>
      </c>
      <c r="D977" s="104">
        <f>C977-_xlfn.FORECAST.ETS.CONFINT(A977,$B$2:$B$950,$A$2:$A$950,0.95,12,1)</f>
        <v>57.111757977585391</v>
      </c>
      <c r="E977" s="104">
        <f>C977+_xlfn.FORECAST.ETS.CONFINT(A977,$B$2:$B$950,$A$2:$A$950,0.95,12,1)</f>
        <v>96.861647040248329</v>
      </c>
    </row>
    <row r="978" spans="1:5">
      <c r="A978" s="103">
        <v>46508</v>
      </c>
      <c r="C978" s="104">
        <f>_xlfn.FORECAST.ETS(A978,$B$2:$B$950,$A$2:$A$950,12,1)</f>
        <v>77.069047661113473</v>
      </c>
      <c r="D978" s="104">
        <f>C978-_xlfn.FORECAST.ETS.CONFINT(A978,$B$2:$B$950,$A$2:$A$950,0.95,12,1)</f>
        <v>56.923744313657679</v>
      </c>
      <c r="E978" s="104">
        <f>C978+_xlfn.FORECAST.ETS.CONFINT(A978,$B$2:$B$950,$A$2:$A$950,0.95,12,1)</f>
        <v>97.214351008569267</v>
      </c>
    </row>
    <row r="979" spans="1:5">
      <c r="A979" s="103">
        <v>46539</v>
      </c>
      <c r="C979" s="104">
        <f>_xlfn.FORECAST.ETS(A979,$B$2:$B$950,$A$2:$A$950,12,1)</f>
        <v>77.04250202065046</v>
      </c>
      <c r="D979" s="104">
        <f>C979-_xlfn.FORECAST.ETS.CONFINT(A979,$B$2:$B$950,$A$2:$A$950,0.95,12,1)</f>
        <v>56.628510390392677</v>
      </c>
      <c r="E979" s="104">
        <f>C979+_xlfn.FORECAST.ETS.CONFINT(A979,$B$2:$B$950,$A$2:$A$950,0.95,12,1)</f>
        <v>97.456493650908243</v>
      </c>
    </row>
    <row r="980" spans="1:5">
      <c r="A980" s="103">
        <v>46569</v>
      </c>
      <c r="C980" s="104">
        <f>_xlfn.FORECAST.ETS(A980,$B$2:$B$950,$A$2:$A$950,12,1)</f>
        <v>77.100499084436009</v>
      </c>
      <c r="D980" s="104">
        <f>C980-_xlfn.FORECAST.ETS.CONFINT(A980,$B$2:$B$950,$A$2:$A$950,0.95,12,1)</f>
        <v>56.419417824431832</v>
      </c>
      <c r="E980" s="104">
        <f>C980+_xlfn.FORECAST.ETS.CONFINT(A980,$B$2:$B$950,$A$2:$A$950,0.95,12,1)</f>
        <v>97.781580344440187</v>
      </c>
    </row>
    <row r="981" spans="1:5">
      <c r="A981" s="103">
        <v>46600</v>
      </c>
      <c r="C981" s="104">
        <f>_xlfn.FORECAST.ETS(A981,$B$2:$B$950,$A$2:$A$950,12,1)</f>
        <v>77.205512607592681</v>
      </c>
      <c r="D981" s="104">
        <f>C981-_xlfn.FORECAST.ETS.CONFINT(A981,$B$2:$B$950,$A$2:$A$950,0.95,12,1)</f>
        <v>56.258872534045651</v>
      </c>
      <c r="E981" s="104">
        <f>C981+_xlfn.FORECAST.ETS.CONFINT(A981,$B$2:$B$950,$A$2:$A$950,0.95,12,1)</f>
        <v>98.152152681139711</v>
      </c>
    </row>
    <row r="982" spans="1:5">
      <c r="A982" s="103">
        <v>46631</v>
      </c>
      <c r="C982" s="104">
        <f>_xlfn.FORECAST.ETS(A982,$B$2:$B$950,$A$2:$A$950,12,1)</f>
        <v>77.253176713031905</v>
      </c>
      <c r="D982" s="104">
        <f>C982-_xlfn.FORECAST.ETS.CONFINT(A982,$B$2:$B$950,$A$2:$A$950,0.95,12,1)</f>
        <v>56.042444544022366</v>
      </c>
      <c r="E982" s="104">
        <f>C982+_xlfn.FORECAST.ETS.CONFINT(A982,$B$2:$B$950,$A$2:$A$950,0.95,12,1)</f>
        <v>98.463908882041437</v>
      </c>
    </row>
    <row r="983" spans="1:5">
      <c r="A983" s="103">
        <v>46661</v>
      </c>
      <c r="C983" s="104">
        <f>_xlfn.FORECAST.ETS(A983,$B$2:$B$950,$A$2:$A$950,12,1)</f>
        <v>77.301758896027295</v>
      </c>
      <c r="D983" s="104">
        <f>C983-_xlfn.FORECAST.ETS.CONFINT(A983,$B$2:$B$950,$A$2:$A$950,0.95,12,1)</f>
        <v>55.828340714265572</v>
      </c>
      <c r="E983" s="104">
        <f>C983+_xlfn.FORECAST.ETS.CONFINT(A983,$B$2:$B$950,$A$2:$A$950,0.95,12,1)</f>
        <v>98.77517707778901</v>
      </c>
    </row>
    <row r="984" spans="1:5">
      <c r="A984" s="103">
        <v>46692</v>
      </c>
      <c r="C984" s="104">
        <f>_xlfn.FORECAST.ETS(A984,$B$2:$B$950,$A$2:$A$950,12,1)</f>
        <v>77.368516330323004</v>
      </c>
      <c r="D984" s="104">
        <f>C984-_xlfn.FORECAST.ETS.CONFINT(A984,$B$2:$B$950,$A$2:$A$950,0.95,12,1)</f>
        <v>55.633760795407689</v>
      </c>
      <c r="E984" s="104">
        <f>C984+_xlfn.FORECAST.ETS.CONFINT(A984,$B$2:$B$950,$A$2:$A$950,0.95,12,1)</f>
        <v>99.103271865238327</v>
      </c>
    </row>
    <row r="985" spans="1:5">
      <c r="A985" s="103">
        <v>46722</v>
      </c>
      <c r="C985" s="104">
        <f>_xlfn.FORECAST.ETS(A985,$B$2:$B$950,$A$2:$A$950,12,1)</f>
        <v>77.415667348127172</v>
      </c>
      <c r="D985" s="104">
        <f>C985-_xlfn.FORECAST.ETS.CONFINT(A985,$B$2:$B$950,$A$2:$A$950,0.95,12,1)</f>
        <v>55.420868680980035</v>
      </c>
      <c r="E985" s="104">
        <f>C985+_xlfn.FORECAST.ETS.CONFINT(A985,$B$2:$B$950,$A$2:$A$950,0.95,12,1)</f>
        <v>99.410466015274309</v>
      </c>
    </row>
    <row r="986" spans="1:5">
      <c r="A986" s="103">
        <v>46753</v>
      </c>
      <c r="C986" s="104">
        <f>_xlfn.FORECAST.ETS(A986,$B$2:$B$950,$A$2:$A$950,12,1)</f>
        <v>77.70321491348119</v>
      </c>
      <c r="D986" s="104">
        <f>C986-_xlfn.FORECAST.ETS.CONFINT(A986,$B$2:$B$950,$A$2:$A$950,0.95,12,1)</f>
        <v>55.449615673179395</v>
      </c>
      <c r="E986" s="104">
        <f>C986+_xlfn.FORECAST.ETS.CONFINT(A986,$B$2:$B$950,$A$2:$A$950,0.95,12,1)</f>
        <v>99.956814153782986</v>
      </c>
    </row>
    <row r="987" spans="1:5">
      <c r="A987" s="103">
        <v>46784</v>
      </c>
      <c r="C987" s="104">
        <f>_xlfn.FORECAST.ETS(A987,$B$2:$B$950,$A$2:$A$950,12,1)</f>
        <v>77.803651346405985</v>
      </c>
      <c r="D987" s="104">
        <f>C987-_xlfn.FORECAST.ETS.CONFINT(A987,$B$2:$B$950,$A$2:$A$950,0.95,12,1)</f>
        <v>55.29065707908542</v>
      </c>
      <c r="E987" s="104">
        <f>C987+_xlfn.FORECAST.ETS.CONFINT(A987,$B$2:$B$950,$A$2:$A$950,0.95,12,1)</f>
        <v>100.31664561372655</v>
      </c>
    </row>
    <row r="988" spans="1:5">
      <c r="A988" s="103">
        <v>46813</v>
      </c>
      <c r="C988" s="104">
        <f>_xlfn.FORECAST.ETS(A988,$B$2:$B$950,$A$2:$A$950,12,1)</f>
        <v>77.92986615601005</v>
      </c>
      <c r="D988" s="104">
        <f>C988-_xlfn.FORECAST.ETS.CONFINT(A988,$B$2:$B$950,$A$2:$A$950,0.95,12,1)</f>
        <v>55.160431762225556</v>
      </c>
      <c r="E988" s="104">
        <f>C988+_xlfn.FORECAST.ETS.CONFINT(A988,$B$2:$B$950,$A$2:$A$950,0.95,12,1)</f>
        <v>100.69930054979454</v>
      </c>
    </row>
    <row r="989" spans="1:5">
      <c r="A989" s="103">
        <v>46844</v>
      </c>
      <c r="C989" s="104">
        <f>_xlfn.FORECAST.ETS(A989,$B$2:$B$950,$A$2:$A$950,12,1)</f>
        <v>78.116769007066992</v>
      </c>
      <c r="D989" s="104">
        <f>C989-_xlfn.FORECAST.ETS.CONFINT(A989,$B$2:$B$950,$A$2:$A$950,0.95,12,1)</f>
        <v>55.091996373133966</v>
      </c>
      <c r="E989" s="104">
        <f>C989+_xlfn.FORECAST.ETS.CONFINT(A989,$B$2:$B$950,$A$2:$A$950,0.95,12,1)</f>
        <v>101.14154164100002</v>
      </c>
    </row>
    <row r="990" spans="1:5">
      <c r="A990" s="103">
        <v>46874</v>
      </c>
      <c r="C990" s="104">
        <f>_xlfn.FORECAST.ETS(A990,$B$2:$B$950,$A$2:$A$950,12,1)</f>
        <v>78.199114159263601</v>
      </c>
      <c r="D990" s="104">
        <f>C990-_xlfn.FORECAST.ETS.CONFINT(A990,$B$2:$B$950,$A$2:$A$950,0.95,12,1)</f>
        <v>54.920062899031748</v>
      </c>
      <c r="E990" s="104">
        <f>C990+_xlfn.FORECAST.ETS.CONFINT(A990,$B$2:$B$950,$A$2:$A$950,0.95,12,1)</f>
        <v>101.47816541949545</v>
      </c>
    </row>
    <row r="991" spans="1:5">
      <c r="A991" s="103">
        <v>46905</v>
      </c>
      <c r="C991" s="104">
        <f>_xlfn.FORECAST.ETS(A991,$B$2:$B$950,$A$2:$A$950,12,1)</f>
        <v>78.172568518800574</v>
      </c>
      <c r="D991" s="104">
        <f>C991-_xlfn.FORECAST.ETS.CONFINT(A991,$B$2:$B$950,$A$2:$A$950,0.95,12,1)</f>
        <v>54.640257947775901</v>
      </c>
      <c r="E991" s="104">
        <f>C991+_xlfn.FORECAST.ETS.CONFINT(A991,$B$2:$B$950,$A$2:$A$950,0.95,12,1)</f>
        <v>101.70487908982525</v>
      </c>
    </row>
    <row r="992" spans="1:5">
      <c r="A992" s="103">
        <v>46935</v>
      </c>
      <c r="C992" s="104">
        <f>_xlfn.FORECAST.ETS(A992,$B$2:$B$950,$A$2:$A$950,12,1)</f>
        <v>78.230565582586124</v>
      </c>
      <c r="D992" s="104">
        <f>C992-_xlfn.FORECAST.ETS.CONFINT(A992,$B$2:$B$950,$A$2:$A$950,0.95,12,1)</f>
        <v>54.445976568898864</v>
      </c>
      <c r="E992" s="104">
        <f>C992+_xlfn.FORECAST.ETS.CONFINT(A992,$B$2:$B$950,$A$2:$A$950,0.95,12,1)</f>
        <v>102.01515459627339</v>
      </c>
    </row>
    <row r="993" spans="1:5">
      <c r="A993" s="103">
        <v>46966</v>
      </c>
      <c r="C993" s="104">
        <f>_xlfn.FORECAST.ETS(A993,$B$2:$B$950,$A$2:$A$950,12,1)</f>
        <v>78.335579105742795</v>
      </c>
      <c r="D993" s="104">
        <f>C993-_xlfn.FORECAST.ETS.CONFINT(A993,$B$2:$B$950,$A$2:$A$950,0.95,12,1)</f>
        <v>54.299655807587776</v>
      </c>
      <c r="E993" s="104">
        <f>C993+_xlfn.FORECAST.ETS.CONFINT(A993,$B$2:$B$950,$A$2:$A$950,0.95,12,1)</f>
        <v>102.37150240389781</v>
      </c>
    </row>
    <row r="994" spans="1:5">
      <c r="A994" s="103">
        <v>46997</v>
      </c>
      <c r="C994" s="104">
        <f>_xlfn.FORECAST.ETS(A994,$B$2:$B$950,$A$2:$A$950,12,1)</f>
        <v>78.383243211182034</v>
      </c>
      <c r="D994" s="104">
        <f>C994-_xlfn.FORECAST.ETS.CONFINT(A994,$B$2:$B$950,$A$2:$A$950,0.95,12,1)</f>
        <v>54.096894709457345</v>
      </c>
      <c r="E994" s="104">
        <f>C994+_xlfn.FORECAST.ETS.CONFINT(A994,$B$2:$B$950,$A$2:$A$950,0.95,12,1)</f>
        <v>102.66959171290672</v>
      </c>
    </row>
    <row r="995" spans="1:5">
      <c r="A995" s="103">
        <v>47027</v>
      </c>
      <c r="C995" s="104">
        <f>_xlfn.FORECAST.ETS(A995,$B$2:$B$950,$A$2:$A$950,12,1)</f>
        <v>78.431825394177423</v>
      </c>
      <c r="D995" s="104">
        <f>C995-_xlfn.FORECAST.ETS.CONFINT(A995,$B$2:$B$950,$A$2:$A$950,0.95,12,1)</f>
        <v>53.895927228244233</v>
      </c>
      <c r="E995" s="104">
        <f>C995+_xlfn.FORECAST.ETS.CONFINT(A995,$B$2:$B$950,$A$2:$A$950,0.95,12,1)</f>
        <v>102.96772356011061</v>
      </c>
    </row>
    <row r="996" spans="1:5">
      <c r="A996" s="103">
        <v>47058</v>
      </c>
      <c r="C996" s="104">
        <f>_xlfn.FORECAST.ETS(A996,$B$2:$B$950,$A$2:$A$950,12,1)</f>
        <v>78.498582828473118</v>
      </c>
      <c r="D996" s="104">
        <f>C996-_xlfn.FORECAST.ETS.CONFINT(A996,$B$2:$B$950,$A$2:$A$950,0.95,12,1)</f>
        <v>53.713978442242201</v>
      </c>
      <c r="E996" s="104">
        <f>C996+_xlfn.FORECAST.ETS.CONFINT(A996,$B$2:$B$950,$A$2:$A$950,0.95,12,1)</f>
        <v>103.28318721470404</v>
      </c>
    </row>
    <row r="997" spans="1:5">
      <c r="A997" s="103">
        <v>47088</v>
      </c>
      <c r="C997" s="104">
        <f>_xlfn.FORECAST.ETS(A997,$B$2:$B$950,$A$2:$A$950,12,1)</f>
        <v>78.545733846277287</v>
      </c>
      <c r="D997" s="104">
        <f>C997-_xlfn.FORECAST.ETS.CONFINT(A997,$B$2:$B$950,$A$2:$A$950,0.95,12,1)</f>
        <v>53.513235951185919</v>
      </c>
      <c r="E997" s="104">
        <f>C997+_xlfn.FORECAST.ETS.CONFINT(A997,$B$2:$B$950,$A$2:$A$950,0.95,12,1)</f>
        <v>103.57823174136865</v>
      </c>
    </row>
    <row r="998" spans="1:5">
      <c r="A998" s="103">
        <v>47119</v>
      </c>
      <c r="C998" s="104">
        <f>_xlfn.FORECAST.ETS(A998,$B$2:$B$950,$A$2:$A$950,12,1)</f>
        <v>78.833281411631305</v>
      </c>
      <c r="D998" s="104">
        <f>C998-_xlfn.FORECAST.ETS.CONFINT(A998,$B$2:$B$950,$A$2:$A$950,0.95,12,1)</f>
        <v>53.5536732724986</v>
      </c>
      <c r="E998" s="104">
        <f>C998+_xlfn.FORECAST.ETS.CONFINT(A998,$B$2:$B$950,$A$2:$A$950,0.95,12,1)</f>
        <v>104.11288955076401</v>
      </c>
    </row>
    <row r="999" spans="1:5">
      <c r="A999" s="103">
        <v>47150</v>
      </c>
      <c r="C999" s="104">
        <f>_xlfn.FORECAST.ETS(A999,$B$2:$B$950,$A$2:$A$950,12,1)</f>
        <v>78.933717844556114</v>
      </c>
      <c r="D999" s="104">
        <f>C999-_xlfn.FORECAST.ETS.CONFINT(A999,$B$2:$B$950,$A$2:$A$950,0.95,12,1)</f>
        <v>53.406111895255037</v>
      </c>
      <c r="E999" s="104">
        <f>C999+_xlfn.FORECAST.ETS.CONFINT(A999,$B$2:$B$950,$A$2:$A$950,0.95,12,1)</f>
        <v>104.46132379385719</v>
      </c>
    </row>
    <row r="1000" spans="1:5">
      <c r="A1000" s="103">
        <v>47178</v>
      </c>
      <c r="C1000" s="104">
        <f>_xlfn.FORECAST.ETS(A1000,$B$2:$B$950,$A$2:$A$950,12,1)</f>
        <v>79.059932654160178</v>
      </c>
      <c r="D1000" s="104">
        <f>C1000-_xlfn.FORECAST.ETS.CONFINT(A1000,$B$2:$B$950,$A$2:$A$950,0.95,12,1)</f>
        <v>53.28671509527787</v>
      </c>
      <c r="E1000" s="104">
        <f>C1000+_xlfn.FORECAST.ETS.CONFINT(A1000,$B$2:$B$950,$A$2:$A$950,0.95,12,1)</f>
        <v>104.83315021304249</v>
      </c>
    </row>
    <row r="1001" spans="1:5">
      <c r="A1001" s="103">
        <v>47209</v>
      </c>
      <c r="C1001" s="104">
        <f>_xlfn.FORECAST.ETS(A1001,$B$2:$B$950,$A$2:$A$950,12,1)</f>
        <v>79.246835505217106</v>
      </c>
      <c r="D1001" s="104">
        <f>C1001-_xlfn.FORECAST.ETS.CONFINT(A1001,$B$2:$B$950,$A$2:$A$950,0.95,12,1)</f>
        <v>53.228707945918579</v>
      </c>
      <c r="E1001" s="104">
        <f>C1001+_xlfn.FORECAST.ETS.CONFINT(A1001,$B$2:$B$950,$A$2:$A$950,0.95,12,1)</f>
        <v>105.26496306451563</v>
      </c>
    </row>
    <row r="1002" spans="1:5">
      <c r="A1002" s="103">
        <v>47239</v>
      </c>
      <c r="C1002" s="104">
        <f>_xlfn.FORECAST.ETS(A1002,$B$2:$B$950,$A$2:$A$950,12,1)</f>
        <v>79.329180657413715</v>
      </c>
      <c r="D1002" s="104">
        <f>C1002-_xlfn.FORECAST.ETS.CONFINT(A1002,$B$2:$B$950,$A$2:$A$950,0.95,12,1)</f>
        <v>53.066819747398945</v>
      </c>
      <c r="E1002" s="104">
        <f>C1002+_xlfn.FORECAST.ETS.CONFINT(A1002,$B$2:$B$950,$A$2:$A$950,0.95,12,1)</f>
        <v>105.59154156742849</v>
      </c>
    </row>
    <row r="1003" spans="1:5">
      <c r="A1003" s="103">
        <v>47270</v>
      </c>
      <c r="C1003" s="104">
        <f>_xlfn.FORECAST.ETS(A1003,$B$2:$B$950,$A$2:$A$950,12,1)</f>
        <v>79.302635016950688</v>
      </c>
      <c r="D1003" s="104">
        <f>C1003-_xlfn.FORECAST.ETS.CONFINT(A1003,$B$2:$B$950,$A$2:$A$950,0.95,12,1)</f>
        <v>52.796693419508117</v>
      </c>
      <c r="E1003" s="104">
        <f>C1003+_xlfn.FORECAST.ETS.CONFINT(A1003,$B$2:$B$950,$A$2:$A$950,0.95,12,1)</f>
        <v>105.80857661439326</v>
      </c>
    </row>
    <row r="1004" spans="1:5">
      <c r="A1004" s="103">
        <v>47300</v>
      </c>
      <c r="C1004" s="104">
        <f>_xlfn.FORECAST.ETS(A1004,$B$2:$B$950,$A$2:$A$950,12,1)</f>
        <v>79.360632080736252</v>
      </c>
      <c r="D1004" s="104">
        <f>C1004-_xlfn.FORECAST.ETS.CONFINT(A1004,$B$2:$B$950,$A$2:$A$950,0.95,12,1)</f>
        <v>52.611739395409018</v>
      </c>
      <c r="E1004" s="104">
        <f>C1004+_xlfn.FORECAST.ETS.CONFINT(A1004,$B$2:$B$950,$A$2:$A$950,0.95,12,1)</f>
        <v>106.10952476606349</v>
      </c>
    </row>
    <row r="1005" spans="1:5">
      <c r="A1005" s="103">
        <v>47331</v>
      </c>
      <c r="C1005" s="104">
        <f>_xlfn.FORECAST.ETS(A1005,$B$2:$B$950,$A$2:$A$950,12,1)</f>
        <v>79.465645603892924</v>
      </c>
      <c r="D1005" s="104">
        <f>C1005-_xlfn.FORECAST.ETS.CONFINT(A1005,$B$2:$B$950,$A$2:$A$950,0.95,12,1)</f>
        <v>52.474409242030006</v>
      </c>
      <c r="E1005" s="104">
        <f>C1005+_xlfn.FORECAST.ETS.CONFINT(A1005,$B$2:$B$950,$A$2:$A$950,0.95,12,1)</f>
        <v>106.45688196575584</v>
      </c>
    </row>
    <row r="1006" spans="1:5">
      <c r="A1006" s="103">
        <v>47362</v>
      </c>
      <c r="C1006" s="104">
        <f>_xlfn.FORECAST.ETS(A1006,$B$2:$B$950,$A$2:$A$950,12,1)</f>
        <v>79.513309709332148</v>
      </c>
      <c r="D1006" s="104">
        <f>C1006-_xlfn.FORECAST.ETS.CONFINT(A1006,$B$2:$B$950,$A$2:$A$950,0.95,12,1)</f>
        <v>52.28031572554184</v>
      </c>
      <c r="E1006" s="104">
        <f>C1006+_xlfn.FORECAST.ETS.CONFINT(A1006,$B$2:$B$950,$A$2:$A$950,0.95,12,1)</f>
        <v>106.74630369312246</v>
      </c>
    </row>
    <row r="1007" spans="1:5">
      <c r="A1007" s="103">
        <v>47392</v>
      </c>
      <c r="C1007" s="104">
        <f>_xlfn.FORECAST.ETS(A1007,$B$2:$B$950,$A$2:$A$950,12,1)</f>
        <v>79.561891892327537</v>
      </c>
      <c r="D1007" s="104">
        <f>C1007-_xlfn.FORECAST.ETS.CONFINT(A1007,$B$2:$B$950,$A$2:$A$950,0.95,12,1)</f>
        <v>52.087705774618627</v>
      </c>
      <c r="E1007" s="104">
        <f>C1007+_xlfn.FORECAST.ETS.CONFINT(A1007,$B$2:$B$950,$A$2:$A$950,0.95,12,1)</f>
        <v>107.03607801003645</v>
      </c>
    </row>
    <row r="1008" spans="1:5">
      <c r="A1008" s="103">
        <v>47423</v>
      </c>
      <c r="C1008" s="104">
        <f>_xlfn.FORECAST.ETS(A1008,$B$2:$B$950,$A$2:$A$950,12,1)</f>
        <v>79.628649326623233</v>
      </c>
      <c r="D1008" s="104">
        <f>C1008-_xlfn.FORECAST.ETS.CONFINT(A1008,$B$2:$B$950,$A$2:$A$950,0.95,12,1)</f>
        <v>51.913816747808539</v>
      </c>
      <c r="E1008" s="104">
        <f>C1008+_xlfn.FORECAST.ETS.CONFINT(A1008,$B$2:$B$950,$A$2:$A$950,0.95,12,1)</f>
        <v>107.34348190543793</v>
      </c>
    </row>
    <row r="1009" spans="1:5">
      <c r="A1009" s="103">
        <v>47453</v>
      </c>
      <c r="C1009" s="104">
        <f>_xlfn.FORECAST.ETS(A1009,$B$2:$B$950,$A$2:$A$950,12,1)</f>
        <v>79.675800344427415</v>
      </c>
      <c r="D1009" s="104">
        <f>C1009-_xlfn.FORECAST.ETS.CONFINT(A1009,$B$2:$B$950,$A$2:$A$950,0.95,12,1)</f>
        <v>51.720847877171309</v>
      </c>
      <c r="E1009" s="104">
        <f>C1009+_xlfn.FORECAST.ETS.CONFINT(A1009,$B$2:$B$950,$A$2:$A$950,0.95,12,1)</f>
        <v>107.63075281168352</v>
      </c>
    </row>
    <row r="1010" spans="1:5">
      <c r="A1010" s="103">
        <v>47484</v>
      </c>
      <c r="C1010" s="104">
        <f>_xlfn.FORECAST.ETS(A1010,$B$2:$B$950,$A$2:$A$950,12,1)</f>
        <v>79.963347909781433</v>
      </c>
      <c r="D1010" s="104">
        <f>C1010-_xlfn.FORECAST.ETS.CONFINT(A1010,$B$2:$B$950,$A$2:$A$950,0.95,12,1)</f>
        <v>51.768783707497725</v>
      </c>
      <c r="E1010" s="104">
        <f>C1010+_xlfn.FORECAST.ETS.CONFINT(A1010,$B$2:$B$950,$A$2:$A$950,0.95,12,1)</f>
        <v>108.15791211206513</v>
      </c>
    </row>
    <row r="1011" spans="1:5">
      <c r="A1011" s="103">
        <v>47515</v>
      </c>
      <c r="C1011" s="104">
        <f>_xlfn.FORECAST.ETS(A1011,$B$2:$B$950,$A$2:$A$950,12,1)</f>
        <v>80.063784342706228</v>
      </c>
      <c r="D1011" s="104">
        <f>C1011-_xlfn.FORECAST.ETS.CONFINT(A1011,$B$2:$B$950,$A$2:$A$950,0.95,12,1)</f>
        <v>51.628565076052141</v>
      </c>
      <c r="E1011" s="104">
        <f>C1011+_xlfn.FORECAST.ETS.CONFINT(A1011,$B$2:$B$950,$A$2:$A$950,0.95,12,1)</f>
        <v>108.49900360936032</v>
      </c>
    </row>
    <row r="1012" spans="1:5">
      <c r="A1012" s="103">
        <v>47543</v>
      </c>
      <c r="C1012" s="104">
        <f>_xlfn.FORECAST.ETS(A1012,$B$2:$B$950,$A$2:$A$950,12,1)</f>
        <v>80.189999152310293</v>
      </c>
      <c r="D1012" s="104">
        <f>C1012-_xlfn.FORECAST.ETS.CONFINT(A1012,$B$2:$B$950,$A$2:$A$950,0.95,12,1)</f>
        <v>51.516144529523814</v>
      </c>
      <c r="E1012" s="104">
        <f>C1012+_xlfn.FORECAST.ETS.CONFINT(A1012,$B$2:$B$950,$A$2:$A$950,0.95,12,1)</f>
        <v>108.86385377509677</v>
      </c>
    </row>
    <row r="1013" spans="1:5">
      <c r="A1013" s="103">
        <v>47574</v>
      </c>
      <c r="C1013" s="104">
        <f>_xlfn.FORECAST.ETS(A1013,$B$2:$B$950,$A$2:$A$950,12,1)</f>
        <v>80.376902003367221</v>
      </c>
      <c r="D1013" s="104">
        <f>C1013-_xlfn.FORECAST.ETS.CONFINT(A1013,$B$2:$B$950,$A$2:$A$950,0.95,12,1)</f>
        <v>51.464868459266413</v>
      </c>
      <c r="E1013" s="104">
        <f>C1013+_xlfn.FORECAST.ETS.CONFINT(A1013,$B$2:$B$950,$A$2:$A$950,0.95,12,1)</f>
        <v>109.28893554746803</v>
      </c>
    </row>
    <row r="1014" spans="1:5">
      <c r="A1014" s="103">
        <v>47604</v>
      </c>
      <c r="C1014" s="104">
        <f>_xlfn.FORECAST.ETS(A1014,$B$2:$B$950,$A$2:$A$950,12,1)</f>
        <v>80.45924715556383</v>
      </c>
      <c r="D1014" s="104">
        <f>C1014-_xlfn.FORECAST.ETS.CONFINT(A1014,$B$2:$B$950,$A$2:$A$950,0.95,12,1)</f>
        <v>51.309475133745636</v>
      </c>
      <c r="E1014" s="104">
        <f>C1014+_xlfn.FORECAST.ETS.CONFINT(A1014,$B$2:$B$950,$A$2:$A$950,0.95,12,1)</f>
        <v>109.60901917738202</v>
      </c>
    </row>
    <row r="1015" spans="1:5">
      <c r="A1015" s="103">
        <v>47635</v>
      </c>
      <c r="C1015" s="104">
        <f>_xlfn.FORECAST.ETS(A1015,$B$2:$B$950,$A$2:$A$950,12,1)</f>
        <v>80.432701515100817</v>
      </c>
      <c r="D1015" s="104">
        <f>C1015-_xlfn.FORECAST.ETS.CONFINT(A1015,$B$2:$B$950,$A$2:$A$950,0.95,12,1)</f>
        <v>51.045616005702001</v>
      </c>
      <c r="E1015" s="104">
        <f>C1015+_xlfn.FORECAST.ETS.CONFINT(A1015,$B$2:$B$950,$A$2:$A$950,0.95,12,1)</f>
        <v>109.81978702449963</v>
      </c>
    </row>
    <row r="1016" spans="1:5">
      <c r="A1016" s="103">
        <v>47665</v>
      </c>
      <c r="C1016" s="104">
        <f>_xlfn.FORECAST.ETS(A1016,$B$2:$B$950,$A$2:$A$950,12,1)</f>
        <v>80.490698578886366</v>
      </c>
      <c r="D1016" s="104">
        <f>C1016-_xlfn.FORECAST.ETS.CONFINT(A1016,$B$2:$B$950,$A$2:$A$950,0.95,12,1)</f>
        <v>50.86670963250765</v>
      </c>
      <c r="E1016" s="104">
        <f>C1016+_xlfn.FORECAST.ETS.CONFINT(A1016,$B$2:$B$950,$A$2:$A$950,0.95,12,1)</f>
        <v>110.11468752526508</v>
      </c>
    </row>
    <row r="1017" spans="1:5">
      <c r="A1017" s="103">
        <v>47696</v>
      </c>
      <c r="C1017" s="104">
        <f>_xlfn.FORECAST.ETS(A1017,$B$2:$B$950,$A$2:$A$950,12,1)</f>
        <v>80.595712102043038</v>
      </c>
      <c r="D1017" s="104">
        <f>C1017-_xlfn.FORECAST.ETS.CONFINT(A1017,$B$2:$B$950,$A$2:$A$950,0.95,12,1)</f>
        <v>50.735215321161178</v>
      </c>
      <c r="E1017" s="104">
        <f>C1017+_xlfn.FORECAST.ETS.CONFINT(A1017,$B$2:$B$950,$A$2:$A$950,0.95,12,1)</f>
        <v>110.4562088829249</v>
      </c>
    </row>
    <row r="1018" spans="1:5">
      <c r="A1018" s="103">
        <v>47727</v>
      </c>
      <c r="C1018" s="104">
        <f>_xlfn.FORECAST.ETS(A1018,$B$2:$B$950,$A$2:$A$950,12,1)</f>
        <v>80.643376207482262</v>
      </c>
      <c r="D1018" s="104">
        <f>C1018-_xlfn.FORECAST.ETS.CONFINT(A1018,$B$2:$B$950,$A$2:$A$950,0.95,12,1)</f>
        <v>50.54675321658658</v>
      </c>
      <c r="E1018" s="104">
        <f>C1018+_xlfn.FORECAST.ETS.CONFINT(A1018,$B$2:$B$950,$A$2:$A$950,0.95,12,1)</f>
        <v>110.73999919837794</v>
      </c>
    </row>
    <row r="1019" spans="1:5">
      <c r="A1019" s="103">
        <v>47757</v>
      </c>
      <c r="C1019" s="104">
        <f>_xlfn.FORECAST.ETS(A1019,$B$2:$B$950,$A$2:$A$950,12,1)</f>
        <v>80.691958390477666</v>
      </c>
      <c r="D1019" s="104">
        <f>C1019-_xlfn.FORECAST.ETS.CONFINT(A1019,$B$2:$B$950,$A$2:$A$950,0.95,12,1)</f>
        <v>50.359577286085909</v>
      </c>
      <c r="E1019" s="104">
        <f>C1019+_xlfn.FORECAST.ETS.CONFINT(A1019,$B$2:$B$950,$A$2:$A$950,0.95,12,1)</f>
        <v>111.02433949486942</v>
      </c>
    </row>
    <row r="1020" spans="1:5">
      <c r="A1020" s="103">
        <v>47788</v>
      </c>
      <c r="C1020" s="104">
        <f>_xlfn.FORECAST.ETS(A1020,$B$2:$B$950,$A$2:$A$950,12,1)</f>
        <v>80.758715824773361</v>
      </c>
      <c r="D1020" s="104">
        <f>C1020-_xlfn.FORECAST.ETS.CONFINT(A1020,$B$2:$B$950,$A$2:$A$950,0.95,12,1)</f>
        <v>50.190931606406473</v>
      </c>
      <c r="E1020" s="104">
        <f>C1020+_xlfn.FORECAST.ETS.CONFINT(A1020,$B$2:$B$950,$A$2:$A$950,0.95,12,1)</f>
        <v>111.32650004314024</v>
      </c>
    </row>
    <row r="1021" spans="1:5">
      <c r="A1021" s="103">
        <v>47818</v>
      </c>
      <c r="C1021" s="104">
        <f>_xlfn.FORECAST.ETS(A1021,$B$2:$B$950,$A$2:$A$950,12,1)</f>
        <v>80.805866842577529</v>
      </c>
      <c r="D1021" s="104">
        <f>C1021-_xlfn.FORECAST.ETS.CONFINT(A1021,$B$2:$B$950,$A$2:$A$950,0.95,12,1)</f>
        <v>50.0030218257033</v>
      </c>
      <c r="E1021" s="104">
        <f>C1021+_xlfn.FORECAST.ETS.CONFINT(A1021,$B$2:$B$950,$A$2:$A$950,0.95,12,1)</f>
        <v>111.60871185945176</v>
      </c>
    </row>
    <row r="1022" spans="1:5">
      <c r="A1022" s="103">
        <v>47849</v>
      </c>
      <c r="C1022" s="104">
        <f>_xlfn.FORECAST.ETS(A1022,$B$2:$B$950,$A$2:$A$950,12,1)</f>
        <v>81.093414407931547</v>
      </c>
      <c r="D1022" s="104">
        <f>C1022-_xlfn.FORECAST.ETS.CONFINT(A1022,$B$2:$B$950,$A$2:$A$950,0.95,12,1)</f>
        <v>50.055838619822829</v>
      </c>
      <c r="E1022" s="104">
        <f>C1022+_xlfn.FORECAST.ETS.CONFINT(A1022,$B$2:$B$950,$A$2:$A$950,0.95,12,1)</f>
        <v>112.13099019604027</v>
      </c>
    </row>
    <row r="1023" spans="1:5">
      <c r="A1023" s="103">
        <v>47880</v>
      </c>
      <c r="C1023" s="104">
        <f>_xlfn.FORECAST.ETS(A1023,$B$2:$B$950,$A$2:$A$950,12,1)</f>
        <v>81.193850840856342</v>
      </c>
      <c r="D1023" s="104">
        <f>C1023-_xlfn.FORECAST.ETS.CONFINT(A1023,$B$2:$B$950,$A$2:$A$950,0.95,12,1)</f>
        <v>49.920414163878036</v>
      </c>
      <c r="E1023" s="104">
        <f>C1023+_xlfn.FORECAST.ETS.CONFINT(A1023,$B$2:$B$950,$A$2:$A$950,0.95,12,1)</f>
        <v>112.46728751783465</v>
      </c>
    </row>
    <row r="1024" spans="1:5">
      <c r="A1024" s="103">
        <v>47908</v>
      </c>
      <c r="C1024" s="104">
        <f>_xlfn.FORECAST.ETS(A1024,$B$2:$B$950,$A$2:$A$950,12,1)</f>
        <v>81.320065650460407</v>
      </c>
      <c r="D1024" s="104">
        <f>C1024-_xlfn.FORECAST.ETS.CONFINT(A1024,$B$2:$B$950,$A$2:$A$950,0.95,12,1)</f>
        <v>49.812533656104648</v>
      </c>
      <c r="E1024" s="104">
        <f>C1024+_xlfn.FORECAST.ETS.CONFINT(A1024,$B$2:$B$950,$A$2:$A$950,0.95,12,1)</f>
        <v>112.82759764481617</v>
      </c>
    </row>
    <row r="1025" spans="1:5">
      <c r="A1025" s="103">
        <v>47939</v>
      </c>
      <c r="C1025" s="104">
        <f>_xlfn.FORECAST.ETS(A1025,$B$2:$B$950,$A$2:$A$950,12,1)</f>
        <v>81.506968501517349</v>
      </c>
      <c r="D1025" s="104">
        <f>C1025-_xlfn.FORECAST.ETS.CONFINT(A1025,$B$2:$B$950,$A$2:$A$950,0.95,12,1)</f>
        <v>49.765636397728684</v>
      </c>
      <c r="E1025" s="104">
        <f>C1025+_xlfn.FORECAST.ETS.CONFINT(A1025,$B$2:$B$950,$A$2:$A$950,0.95,12,1)</f>
        <v>113.24830060530601</v>
      </c>
    </row>
    <row r="1026" spans="1:5">
      <c r="A1026" s="103">
        <v>47969</v>
      </c>
      <c r="C1026" s="104">
        <f>_xlfn.FORECAST.ETS(A1026,$B$2:$B$950,$A$2:$A$950,12,1)</f>
        <v>81.589313653713958</v>
      </c>
      <c r="D1026" s="104">
        <f>C1026-_xlfn.FORECAST.ETS.CONFINT(A1026,$B$2:$B$950,$A$2:$A$950,0.95,12,1)</f>
        <v>49.614465794284456</v>
      </c>
      <c r="E1026" s="104">
        <f>C1026+_xlfn.FORECAST.ETS.CONFINT(A1026,$B$2:$B$950,$A$2:$A$950,0.95,12,1)</f>
        <v>113.56416151314346</v>
      </c>
    </row>
    <row r="1027" spans="1:5">
      <c r="A1027" s="103">
        <v>48000</v>
      </c>
      <c r="C1027" s="104">
        <f>_xlfn.FORECAST.ETS(A1027,$B$2:$B$950,$A$2:$A$950,12,1)</f>
        <v>81.562768013250931</v>
      </c>
      <c r="D1027" s="104">
        <f>C1027-_xlfn.FORECAST.ETS.CONFINT(A1027,$B$2:$B$950,$A$2:$A$950,0.95,12,1)</f>
        <v>49.354678220326932</v>
      </c>
      <c r="E1027" s="104">
        <f>C1027+_xlfn.FORECAST.ETS.CONFINT(A1027,$B$2:$B$950,$A$2:$A$950,0.95,12,1)</f>
        <v>113.77085780617493</v>
      </c>
    </row>
    <row r="1028" spans="1:5">
      <c r="A1028" s="103">
        <v>48030</v>
      </c>
      <c r="C1028" s="104">
        <f>_xlfn.FORECAST.ETS(A1028,$B$2:$B$950,$A$2:$A$950,12,1)</f>
        <v>81.620765077036481</v>
      </c>
      <c r="D1028" s="104">
        <f>C1028-_xlfn.FORECAST.ETS.CONFINT(A1028,$B$2:$B$950,$A$2:$A$950,0.95,12,1)</f>
        <v>49.179696951111417</v>
      </c>
      <c r="E1028" s="104">
        <f>C1028+_xlfn.FORECAST.ETS.CONFINT(A1028,$B$2:$B$950,$A$2:$A$950,0.95,12,1)</f>
        <v>114.06183320296154</v>
      </c>
    </row>
    <row r="1029" spans="1:5">
      <c r="A1029" s="103">
        <v>48061</v>
      </c>
      <c r="C1029" s="104">
        <f>_xlfn.FORECAST.ETS(A1029,$B$2:$B$950,$A$2:$A$950,12,1)</f>
        <v>81.725778600193152</v>
      </c>
      <c r="D1029" s="104">
        <f>C1029-_xlfn.FORECAST.ETS.CONFINT(A1029,$B$2:$B$950,$A$2:$A$950,0.95,12,1)</f>
        <v>49.051985818194922</v>
      </c>
      <c r="E1029" s="104">
        <f>C1029+_xlfn.FORECAST.ETS.CONFINT(A1029,$B$2:$B$950,$A$2:$A$950,0.95,12,1)</f>
        <v>114.39957138219138</v>
      </c>
    </row>
    <row r="1030" spans="1:5">
      <c r="A1030" s="103">
        <v>48092</v>
      </c>
      <c r="C1030" s="104">
        <f>_xlfn.FORECAST.ETS(A1030,$B$2:$B$950,$A$2:$A$950,12,1)</f>
        <v>81.773442705632391</v>
      </c>
      <c r="D1030" s="104">
        <f>C1030-_xlfn.FORECAST.ETS.CONFINT(A1030,$B$2:$B$950,$A$2:$A$950,0.95,12,1)</f>
        <v>48.867169307677834</v>
      </c>
      <c r="E1030" s="104">
        <f>C1030+_xlfn.FORECAST.ETS.CONFINT(A1030,$B$2:$B$950,$A$2:$A$950,0.95,12,1)</f>
        <v>114.67971610358694</v>
      </c>
    </row>
    <row r="1031" spans="1:5">
      <c r="A1031" s="103">
        <v>48122</v>
      </c>
      <c r="C1031" s="104">
        <f>_xlfn.FORECAST.ETS(A1031,$B$2:$B$950,$A$2:$A$950,12,1)</f>
        <v>81.82202488862778</v>
      </c>
      <c r="D1031" s="104">
        <f>C1031-_xlfn.FORECAST.ETS.CONFINT(A1031,$B$2:$B$950,$A$2:$A$950,0.95,12,1)</f>
        <v>48.683505553984055</v>
      </c>
      <c r="E1031" s="104">
        <f>C1031+_xlfn.FORECAST.ETS.CONFINT(A1031,$B$2:$B$950,$A$2:$A$950,0.95,12,1)</f>
        <v>114.96054422327151</v>
      </c>
    </row>
    <row r="1032" spans="1:5">
      <c r="A1032" s="103">
        <v>48153</v>
      </c>
      <c r="C1032" s="104">
        <f>_xlfn.FORECAST.ETS(A1032,$B$2:$B$950,$A$2:$A$950,12,1)</f>
        <v>81.888782322923475</v>
      </c>
      <c r="D1032" s="104">
        <f>C1032-_xlfn.FORECAST.ETS.CONFINT(A1032,$B$2:$B$950,$A$2:$A$950,0.95,12,1)</f>
        <v>48.518242635684942</v>
      </c>
      <c r="E1032" s="104">
        <f>C1032+_xlfn.FORECAST.ETS.CONFINT(A1032,$B$2:$B$950,$A$2:$A$950,0.95,12,1)</f>
        <v>115.25932201016201</v>
      </c>
    </row>
    <row r="1033" spans="1:5">
      <c r="A1033" s="103">
        <v>48183</v>
      </c>
      <c r="C1033" s="104">
        <f>_xlfn.FORECAST.ETS(A1033,$B$2:$B$950,$A$2:$A$950,12,1)</f>
        <v>81.935933340727644</v>
      </c>
      <c r="D1033" s="104">
        <f>C1033-_xlfn.FORECAST.ETS.CONFINT(A1033,$B$2:$B$950,$A$2:$A$950,0.95,12,1)</f>
        <v>48.333590045688233</v>
      </c>
      <c r="E1033" s="104">
        <f>C1033+_xlfn.FORECAST.ETS.CONFINT(A1033,$B$2:$B$950,$A$2:$A$950,0.95,12,1)</f>
        <v>115.53827663576706</v>
      </c>
    </row>
    <row r="1034" spans="1:5">
      <c r="A1034" s="103">
        <v>48214</v>
      </c>
      <c r="C1034" s="104">
        <f>_xlfn.FORECAST.ETS(A1034,$B$2:$B$950,$A$2:$A$950,12,1)</f>
        <v>82.223480906081662</v>
      </c>
      <c r="D1034" s="104">
        <f>C1034-_xlfn.FORECAST.ETS.CONFINT(A1034,$B$2:$B$950,$A$2:$A$950,0.95,12,1)</f>
        <v>48.389542155255732</v>
      </c>
      <c r="E1034" s="104">
        <f>C1034+_xlfn.FORECAST.ETS.CONFINT(A1034,$B$2:$B$950,$A$2:$A$950,0.95,12,1)</f>
        <v>116.0574196569076</v>
      </c>
    </row>
    <row r="1035" spans="1:5">
      <c r="A1035" s="103">
        <v>48245</v>
      </c>
      <c r="C1035" s="104">
        <f>_xlfn.FORECAST.ETS(A1035,$B$2:$B$950,$A$2:$A$950,12,1)</f>
        <v>82.323917339006471</v>
      </c>
      <c r="D1035" s="104">
        <f>C1035-_xlfn.FORECAST.ETS.CONFINT(A1035,$B$2:$B$950,$A$2:$A$950,0.95,12,1)</f>
        <v>48.257204127566894</v>
      </c>
      <c r="E1035" s="104">
        <f>C1035+_xlfn.FORECAST.ETS.CONFINT(A1035,$B$2:$B$950,$A$2:$A$950,0.95,12,1)</f>
        <v>116.39063055044605</v>
      </c>
    </row>
    <row r="1036" spans="1:5">
      <c r="A1036" s="103">
        <v>48274</v>
      </c>
      <c r="C1036" s="104">
        <f>_xlfn.FORECAST.ETS(A1036,$B$2:$B$950,$A$2:$A$950,12,1)</f>
        <v>82.450132148610535</v>
      </c>
      <c r="D1036" s="104">
        <f>C1036-_xlfn.FORECAST.ETS.CONFINT(A1036,$B$2:$B$950,$A$2:$A$950,0.95,12,1)</f>
        <v>48.152224243516613</v>
      </c>
      <c r="E1036" s="104">
        <f>C1036+_xlfn.FORECAST.ETS.CONFINT(A1036,$B$2:$B$950,$A$2:$A$950,0.95,12,1)</f>
        <v>116.74804005370446</v>
      </c>
    </row>
    <row r="1037" spans="1:5">
      <c r="A1037" s="103">
        <v>48305</v>
      </c>
      <c r="C1037" s="104">
        <f>_xlfn.FORECAST.ETS(A1037,$B$2:$B$950,$A$2:$A$950,12,1)</f>
        <v>82.637034999667463</v>
      </c>
      <c r="D1037" s="104">
        <f>C1037-_xlfn.FORECAST.ETS.CONFINT(A1037,$B$2:$B$950,$A$2:$A$950,0.95,12,1)</f>
        <v>48.108116034774191</v>
      </c>
      <c r="E1037" s="104">
        <f>C1037+_xlfn.FORECAST.ETS.CONFINT(A1037,$B$2:$B$950,$A$2:$A$950,0.95,12,1)</f>
        <v>117.16595396456074</v>
      </c>
    </row>
    <row r="1038" spans="1:5">
      <c r="A1038" s="103">
        <v>48335</v>
      </c>
      <c r="C1038" s="104">
        <f>_xlfn.FORECAST.ETS(A1038,$B$2:$B$950,$A$2:$A$950,12,1)</f>
        <v>82.719380151864073</v>
      </c>
      <c r="D1038" s="104">
        <f>C1038-_xlfn.FORECAST.ETS.CONFINT(A1038,$B$2:$B$950,$A$2:$A$950,0.95,12,1)</f>
        <v>47.959626072098359</v>
      </c>
      <c r="E1038" s="104">
        <f>C1038+_xlfn.FORECAST.ETS.CONFINT(A1038,$B$2:$B$950,$A$2:$A$950,0.95,12,1)</f>
        <v>117.47913423162979</v>
      </c>
    </row>
    <row r="1039" spans="1:5">
      <c r="A1039" s="103">
        <v>48366</v>
      </c>
      <c r="C1039" s="104">
        <f>_xlfn.FORECAST.ETS(A1039,$B$2:$B$950,$A$2:$A$950,12,1)</f>
        <v>82.692834511401045</v>
      </c>
      <c r="D1039" s="104">
        <f>C1039-_xlfn.FORECAST.ETS.CONFINT(A1039,$B$2:$B$950,$A$2:$A$950,0.95,12,1)</f>
        <v>47.702413778393257</v>
      </c>
      <c r="E1039" s="104">
        <f>C1039+_xlfn.FORECAST.ETS.CONFINT(A1039,$B$2:$B$950,$A$2:$A$950,0.95,12,1)</f>
        <v>117.68325524440883</v>
      </c>
    </row>
    <row r="1040" spans="1:5">
      <c r="A1040" s="103">
        <v>48396</v>
      </c>
      <c r="C1040" s="104">
        <f>_xlfn.FORECAST.ETS(A1040,$B$2:$B$950,$A$2:$A$950,12,1)</f>
        <v>82.750831575186609</v>
      </c>
      <c r="D1040" s="104">
        <f>C1040-_xlfn.FORECAST.ETS.CONFINT(A1040,$B$2:$B$950,$A$2:$A$950,0.95,12,1)</f>
        <v>47.529905365797497</v>
      </c>
      <c r="E1040" s="104">
        <f>C1040+_xlfn.FORECAST.ETS.CONFINT(A1040,$B$2:$B$950,$A$2:$A$950,0.95,12,1)</f>
        <v>117.97175778457571</v>
      </c>
    </row>
    <row r="1041" spans="1:5">
      <c r="A1041" s="103">
        <v>48427</v>
      </c>
      <c r="C1041" s="104">
        <f>_xlfn.FORECAST.ETS(A1041,$B$2:$B$950,$A$2:$A$950,12,1)</f>
        <v>82.855845098343281</v>
      </c>
      <c r="D1041" s="104">
        <f>C1041-_xlfn.FORECAST.ETS.CONFINT(A1041,$B$2:$B$950,$A$2:$A$950,0.95,12,1)</f>
        <v>47.404567496393391</v>
      </c>
      <c r="E1041" s="104">
        <f>C1041+_xlfn.FORECAST.ETS.CONFINT(A1041,$B$2:$B$950,$A$2:$A$950,0.95,12,1)</f>
        <v>118.30712270029318</v>
      </c>
    </row>
    <row r="1042" spans="1:5">
      <c r="A1042" s="103">
        <v>48458</v>
      </c>
      <c r="C1042" s="104">
        <f>_xlfn.FORECAST.ETS(A1042,$B$2:$B$950,$A$2:$A$950,12,1)</f>
        <v>82.903509203782505</v>
      </c>
      <c r="D1042" s="104">
        <f>C1042-_xlfn.FORECAST.ETS.CONFINT(A1042,$B$2:$B$950,$A$2:$A$950,0.95,12,1)</f>
        <v>47.222027385275112</v>
      </c>
      <c r="E1042" s="104">
        <f>C1042+_xlfn.FORECAST.ETS.CONFINT(A1042,$B$2:$B$950,$A$2:$A$950,0.95,12,1)</f>
        <v>118.5849910222899</v>
      </c>
    </row>
    <row r="1043" spans="1:5">
      <c r="A1043" s="103">
        <v>48488</v>
      </c>
      <c r="C1043" s="104">
        <f>_xlfn.FORECAST.ETS(A1043,$B$2:$B$950,$A$2:$A$950,12,1)</f>
        <v>82.952091386777894</v>
      </c>
      <c r="D1043" s="104">
        <f>C1043-_xlfn.FORECAST.ETS.CONFINT(A1043,$B$2:$B$950,$A$2:$A$950,0.95,12,1)</f>
        <v>47.040545798891515</v>
      </c>
      <c r="E1043" s="104">
        <f>C1043+_xlfn.FORECAST.ETS.CONFINT(A1043,$B$2:$B$950,$A$2:$A$950,0.95,12,1)</f>
        <v>118.86363697466427</v>
      </c>
    </row>
    <row r="1044" spans="1:5">
      <c r="A1044" s="103">
        <v>48519</v>
      </c>
      <c r="C1044" s="104">
        <f>_xlfn.FORECAST.ETS(A1044,$B$2:$B$950,$A$2:$A$950,12,1)</f>
        <v>83.01884882107359</v>
      </c>
      <c r="D1044" s="104">
        <f>C1044-_xlfn.FORECAST.ETS.CONFINT(A1044,$B$2:$B$950,$A$2:$A$950,0.95,12,1)</f>
        <v>46.877373355186094</v>
      </c>
      <c r="E1044" s="104">
        <f>C1044+_xlfn.FORECAST.ETS.CONFINT(A1044,$B$2:$B$950,$A$2:$A$950,0.95,12,1)</f>
        <v>119.16032428696109</v>
      </c>
    </row>
    <row r="1045" spans="1:5">
      <c r="A1045" s="103">
        <v>48549</v>
      </c>
      <c r="C1045" s="104">
        <f>_xlfn.FORECAST.ETS(A1045,$B$2:$B$950,$A$2:$A$950,12,1)</f>
        <v>83.065999838877758</v>
      </c>
      <c r="D1045" s="104">
        <f>C1045-_xlfn.FORECAST.ETS.CONFINT(A1045,$B$2:$B$950,$A$2:$A$950,0.95,12,1)</f>
        <v>46.694721997870822</v>
      </c>
      <c r="E1045" s="104">
        <f>C1045+_xlfn.FORECAST.ETS.CONFINT(A1045,$B$2:$B$950,$A$2:$A$950,0.95,12,1)</f>
        <v>119.43727767988469</v>
      </c>
    </row>
    <row r="1046" spans="1:5">
      <c r="A1046" s="103">
        <v>48580</v>
      </c>
      <c r="C1046" s="104">
        <f>_xlfn.FORECAST.ETS(A1046,$B$2:$B$950,$A$2:$A$950,12,1)</f>
        <v>83.35354740423179</v>
      </c>
      <c r="D1046" s="104">
        <f>C1046-_xlfn.FORECAST.ETS.CONFINT(A1046,$B$2:$B$950,$A$2:$A$950,0.95,12,1)</f>
        <v>46.752588464312012</v>
      </c>
      <c r="E1046" s="104">
        <f>C1046+_xlfn.FORECAST.ETS.CONFINT(A1046,$B$2:$B$950,$A$2:$A$950,0.95,12,1)</f>
        <v>119.95450634415157</v>
      </c>
    </row>
    <row r="1047" spans="1:5">
      <c r="A1047" s="103">
        <v>48611</v>
      </c>
      <c r="C1047" s="104">
        <f>_xlfn.FORECAST.ETS(A1047,$B$2:$B$950,$A$2:$A$950,12,1)</f>
        <v>83.453983837156585</v>
      </c>
      <c r="D1047" s="104">
        <f>C1047-_xlfn.FORECAST.ETS.CONFINT(A1047,$B$2:$B$950,$A$2:$A$950,0.95,12,1)</f>
        <v>46.622138104746583</v>
      </c>
      <c r="E1047" s="104">
        <f>C1047+_xlfn.FORECAST.ETS.CONFINT(A1047,$B$2:$B$950,$A$2:$A$950,0.95,12,1)</f>
        <v>120.28582956956659</v>
      </c>
    </row>
    <row r="1048" spans="1:5">
      <c r="A1048" s="103">
        <v>48639</v>
      </c>
      <c r="C1048" s="104">
        <f>_xlfn.FORECAST.ETS(A1048,$B$2:$B$950,$A$2:$A$950,12,1)</f>
        <v>83.58019864676065</v>
      </c>
      <c r="D1048" s="104">
        <f>C1048-_xlfn.FORECAST.ETS.CONFINT(A1048,$B$2:$B$950,$A$2:$A$950,0.95,12,1)</f>
        <v>46.518904487079666</v>
      </c>
      <c r="E1048" s="104">
        <f>C1048+_xlfn.FORECAST.ETS.CONFINT(A1048,$B$2:$B$950,$A$2:$A$950,0.95,12,1)</f>
        <v>120.64149280644163</v>
      </c>
    </row>
    <row r="1049" spans="1:5">
      <c r="A1049" s="103">
        <v>48670</v>
      </c>
      <c r="C1049" s="104">
        <f>_xlfn.FORECAST.ETS(A1049,$B$2:$B$950,$A$2:$A$950,12,1)</f>
        <v>83.767101497817578</v>
      </c>
      <c r="D1049" s="104">
        <f>C1049-_xlfn.FORECAST.ETS.CONFINT(A1049,$B$2:$B$950,$A$2:$A$950,0.95,12,1)</f>
        <v>46.476462322180673</v>
      </c>
      <c r="E1049" s="104">
        <f>C1049+_xlfn.FORECAST.ETS.CONFINT(A1049,$B$2:$B$950,$A$2:$A$950,0.95,12,1)</f>
        <v>121.05774067345448</v>
      </c>
    </row>
    <row r="1050" spans="1:5">
      <c r="A1050" s="103">
        <v>48700</v>
      </c>
      <c r="C1050" s="104">
        <f>_xlfn.FORECAST.ETS(A1050,$B$2:$B$950,$A$2:$A$950,12,1)</f>
        <v>83.849446650014201</v>
      </c>
      <c r="D1050" s="104">
        <f>C1050-_xlfn.FORECAST.ETS.CONFINT(A1050,$B$2:$B$950,$A$2:$A$950,0.95,12,1)</f>
        <v>46.329560242014459</v>
      </c>
      <c r="E1050" s="104">
        <f>C1050+_xlfn.FORECAST.ETS.CONFINT(A1050,$B$2:$B$950,$A$2:$A$950,0.95,12,1)</f>
        <v>121.36933305801395</v>
      </c>
    </row>
    <row r="1051" spans="1:5">
      <c r="A1051" s="103">
        <v>48731</v>
      </c>
      <c r="C1051" s="104">
        <f>_xlfn.FORECAST.ETS(A1051,$B$2:$B$950,$A$2:$A$950,12,1)</f>
        <v>83.822901009551174</v>
      </c>
      <c r="D1051" s="104">
        <f>C1051-_xlfn.FORECAST.ETS.CONFINT(A1051,$B$2:$B$950,$A$2:$A$950,0.95,12,1)</f>
        <v>46.073859662556579</v>
      </c>
      <c r="E1051" s="104">
        <f>C1051+_xlfn.FORECAST.ETS.CONFINT(A1051,$B$2:$B$950,$A$2:$A$950,0.95,12,1)</f>
        <v>121.57194235654578</v>
      </c>
    </row>
    <row r="1052" spans="1:5">
      <c r="A1052" s="103">
        <v>48761</v>
      </c>
      <c r="C1052" s="104">
        <f>_xlfn.FORECAST.ETS(A1052,$B$2:$B$950,$A$2:$A$950,12,1)</f>
        <v>83.880898073336724</v>
      </c>
      <c r="D1052" s="104">
        <f>C1052-_xlfn.FORECAST.ETS.CONFINT(A1052,$B$2:$B$950,$A$2:$A$950,0.95,12,1)</f>
        <v>45.902788723699715</v>
      </c>
      <c r="E1052" s="104">
        <f>C1052+_xlfn.FORECAST.ETS.CONFINT(A1052,$B$2:$B$950,$A$2:$A$950,0.95,12,1)</f>
        <v>121.85900742297373</v>
      </c>
    </row>
    <row r="1053" spans="1:5">
      <c r="A1053" s="103">
        <v>48792</v>
      </c>
      <c r="C1053" s="104">
        <f>_xlfn.FORECAST.ETS(A1053,$B$2:$B$950,$A$2:$A$950,12,1)</f>
        <v>83.985911596493395</v>
      </c>
      <c r="D1053" s="104">
        <f>C1053-_xlfn.FORECAST.ETS.CONFINT(A1053,$B$2:$B$950,$A$2:$A$950,0.95,12,1)</f>
        <v>45.778815952639881</v>
      </c>
      <c r="E1053" s="104">
        <f>C1053+_xlfn.FORECAST.ETS.CONFINT(A1053,$B$2:$B$950,$A$2:$A$950,0.95,12,1)</f>
        <v>122.1930072403469</v>
      </c>
    </row>
    <row r="1054" spans="1:5">
      <c r="A1054" s="103">
        <v>48823</v>
      </c>
      <c r="C1054" s="104">
        <f>_xlfn.FORECAST.ETS(A1054,$B$2:$B$950,$A$2:$A$950,12,1)</f>
        <v>84.033575701932619</v>
      </c>
      <c r="D1054" s="104">
        <f>C1054-_xlfn.FORECAST.ETS.CONFINT(A1054,$B$2:$B$950,$A$2:$A$950,0.95,12,1)</f>
        <v>45.597570369489596</v>
      </c>
      <c r="E1054" s="104">
        <f>C1054+_xlfn.FORECAST.ETS.CONFINT(A1054,$B$2:$B$950,$A$2:$A$950,0.95,12,1)</f>
        <v>122.46958103437564</v>
      </c>
    </row>
    <row r="1055" spans="1:5">
      <c r="A1055" s="103">
        <v>48853</v>
      </c>
      <c r="C1055" s="104">
        <f>_xlfn.FORECAST.ETS(A1055,$B$2:$B$950,$A$2:$A$950,12,1)</f>
        <v>84.082157884928009</v>
      </c>
      <c r="D1055" s="104">
        <f>C1055-_xlfn.FORECAST.ETS.CONFINT(A1055,$B$2:$B$950,$A$2:$A$950,0.95,12,1)</f>
        <v>45.417314488041328</v>
      </c>
      <c r="E1055" s="104">
        <f>C1055+_xlfn.FORECAST.ETS.CONFINT(A1055,$B$2:$B$950,$A$2:$A$950,0.95,12,1)</f>
        <v>122.74700128181469</v>
      </c>
    </row>
    <row r="1056" spans="1:5">
      <c r="A1056" s="103">
        <v>48884</v>
      </c>
      <c r="C1056" s="104">
        <f>_xlfn.FORECAST.ETS(A1056,$B$2:$B$950,$A$2:$A$950,12,1)</f>
        <v>84.148915319223718</v>
      </c>
      <c r="D1056" s="104">
        <f>C1056-_xlfn.FORECAST.ETS.CONFINT(A1056,$B$2:$B$950,$A$2:$A$950,0.95,12,1)</f>
        <v>45.255300618210789</v>
      </c>
      <c r="E1056" s="104">
        <f>C1056+_xlfn.FORECAST.ETS.CONFINT(A1056,$B$2:$B$950,$A$2:$A$950,0.95,12,1)</f>
        <v>123.04253002023665</v>
      </c>
    </row>
    <row r="1057" spans="1:5">
      <c r="A1057" s="103">
        <v>48914</v>
      </c>
      <c r="C1057" s="104">
        <f>_xlfn.FORECAST.ETS(A1057,$B$2:$B$950,$A$2:$A$950,12,1)</f>
        <v>84.196066337027887</v>
      </c>
      <c r="D1057" s="104">
        <f>C1057-_xlfn.FORECAST.ETS.CONFINT(A1057,$B$2:$B$950,$A$2:$A$950,0.95,12,1)</f>
        <v>45.073742342503358</v>
      </c>
      <c r="E1057" s="104">
        <f>C1057+_xlfn.FORECAST.ETS.CONFINT(A1057,$B$2:$B$950,$A$2:$A$950,0.95,12,1)</f>
        <v>123.31839033155242</v>
      </c>
    </row>
    <row r="1058" spans="1:5">
      <c r="A1058" s="103">
        <v>48945</v>
      </c>
      <c r="C1058" s="104">
        <f>_xlfn.FORECAST.ETS(A1058,$B$2:$B$950,$A$2:$A$950,12,1)</f>
        <v>84.483613902381904</v>
      </c>
      <c r="D1058" s="104">
        <f>C1058-_xlfn.FORECAST.ETS.CONFINT(A1058,$B$2:$B$950,$A$2:$A$950,0.95,12,1)</f>
        <v>45.132637985988111</v>
      </c>
      <c r="E1058" s="104">
        <f>C1058+_xlfn.FORECAST.ETS.CONFINT(A1058,$B$2:$B$950,$A$2:$A$950,0.95,12,1)</f>
        <v>123.8345898187757</v>
      </c>
    </row>
    <row r="1059" spans="1:5">
      <c r="A1059" s="103">
        <v>48976</v>
      </c>
      <c r="C1059" s="104">
        <f>_xlfn.FORECAST.ETS(A1059,$B$2:$B$950,$A$2:$A$950,12,1)</f>
        <v>84.584050335306699</v>
      </c>
      <c r="D1059" s="104">
        <f>C1059-_xlfn.FORECAST.ETS.CONFINT(A1059,$B$2:$B$950,$A$2:$A$950,0.95,12,1)</f>
        <v>45.003203734273093</v>
      </c>
      <c r="E1059" s="104">
        <f>C1059+_xlfn.FORECAST.ETS.CONFINT(A1059,$B$2:$B$950,$A$2:$A$950,0.95,12,1)</f>
        <v>124.16489693634031</v>
      </c>
    </row>
    <row r="1060" spans="1:5">
      <c r="A1060" s="103">
        <v>49004</v>
      </c>
      <c r="C1060" s="104">
        <f>_xlfn.FORECAST.ETS(A1060,$B$2:$B$950,$A$2:$A$950,12,1)</f>
        <v>84.710265144910778</v>
      </c>
      <c r="D1060" s="104">
        <f>C1060-_xlfn.FORECAST.ETS.CONFINT(A1060,$B$2:$B$950,$A$2:$A$950,0.95,12,1)</f>
        <v>44.900875175501511</v>
      </c>
      <c r="E1060" s="104">
        <f>C1060+_xlfn.FORECAST.ETS.CONFINT(A1060,$B$2:$B$950,$A$2:$A$950,0.95,12,1)</f>
        <v>124.51965511432005</v>
      </c>
    </row>
    <row r="1061" spans="1:5">
      <c r="A1061" s="103">
        <v>49035</v>
      </c>
      <c r="C1061" s="104">
        <f>_xlfn.FORECAST.ETS(A1061,$B$2:$B$950,$A$2:$A$950,12,1)</f>
        <v>84.897167995967706</v>
      </c>
      <c r="D1061" s="104">
        <f>C1061-_xlfn.FORECAST.ETS.CONFINT(A1061,$B$2:$B$950,$A$2:$A$950,0.95,12,1)</f>
        <v>44.859278660464568</v>
      </c>
      <c r="E1061" s="104">
        <f>C1061+_xlfn.FORECAST.ETS.CONFINT(A1061,$B$2:$B$950,$A$2:$A$950,0.95,12,1)</f>
        <v>124.93505733147084</v>
      </c>
    </row>
    <row r="1062" spans="1:5">
      <c r="A1062" s="103">
        <v>49065</v>
      </c>
      <c r="C1062" s="104">
        <f>_xlfn.FORECAST.ETS(A1062,$B$2:$B$950,$A$2:$A$950,12,1)</f>
        <v>84.979513148164315</v>
      </c>
      <c r="D1062" s="104">
        <f>C1062-_xlfn.FORECAST.ETS.CONFINT(A1062,$B$2:$B$950,$A$2:$A$950,0.95,12,1)</f>
        <v>44.713164222879826</v>
      </c>
      <c r="E1062" s="104">
        <f>C1062+_xlfn.FORECAST.ETS.CONFINT(A1062,$B$2:$B$950,$A$2:$A$950,0.95,12,1)</f>
        <v>125.24586207344881</v>
      </c>
    </row>
    <row r="1063" spans="1:5">
      <c r="A1063" s="103">
        <v>49096</v>
      </c>
      <c r="C1063" s="104">
        <f>_xlfn.FORECAST.ETS(A1063,$B$2:$B$950,$A$2:$A$950,12,1)</f>
        <v>84.952967507701288</v>
      </c>
      <c r="D1063" s="104">
        <f>C1063-_xlfn.FORECAST.ETS.CONFINT(A1063,$B$2:$B$950,$A$2:$A$950,0.95,12,1)</f>
        <v>44.458194638471291</v>
      </c>
      <c r="E1063" s="104">
        <f>C1063+_xlfn.FORECAST.ETS.CONFINT(A1063,$B$2:$B$950,$A$2:$A$950,0.95,12,1)</f>
        <v>125.44774037693128</v>
      </c>
    </row>
    <row r="1064" spans="1:5">
      <c r="A1064" s="103">
        <v>49126</v>
      </c>
      <c r="C1064" s="104">
        <f>_xlfn.FORECAST.ETS(A1064,$B$2:$B$950,$A$2:$A$950,12,1)</f>
        <v>85.010964571486838</v>
      </c>
      <c r="D1064" s="104">
        <f>C1064-_xlfn.FORECAST.ETS.CONFINT(A1064,$B$2:$B$950,$A$2:$A$950,0.95,12,1)</f>
        <v>44.287799366446322</v>
      </c>
      <c r="E1064" s="104">
        <f>C1064+_xlfn.FORECAST.ETS.CONFINT(A1064,$B$2:$B$950,$A$2:$A$950,0.95,12,1)</f>
        <v>125.73412977652735</v>
      </c>
    </row>
    <row r="1065" spans="1:5">
      <c r="A1065" s="103">
        <v>49157</v>
      </c>
      <c r="C1065" s="104">
        <f>_xlfn.FORECAST.ETS(A1065,$B$2:$B$950,$A$2:$A$950,12,1)</f>
        <v>85.115978094643509</v>
      </c>
      <c r="D1065" s="104">
        <f>C1065-_xlfn.FORECAST.ETS.CONFINT(A1065,$B$2:$B$950,$A$2:$A$950,0.95,12,1)</f>
        <v>44.164448214381636</v>
      </c>
      <c r="E1065" s="104">
        <f>C1065+_xlfn.FORECAST.ETS.CONFINT(A1065,$B$2:$B$950,$A$2:$A$950,0.95,12,1)</f>
        <v>126.06750797490538</v>
      </c>
    </row>
    <row r="1066" spans="1:5">
      <c r="A1066" s="103">
        <v>49188</v>
      </c>
      <c r="C1066" s="104">
        <f>_xlfn.FORECAST.ETS(A1066,$B$2:$B$950,$A$2:$A$950,12,1)</f>
        <v>85.163642200082748</v>
      </c>
      <c r="D1066" s="104">
        <f>C1066-_xlfn.FORECAST.ETS.CONFINT(A1066,$B$2:$B$950,$A$2:$A$950,0.95,12,1)</f>
        <v>43.983771445269433</v>
      </c>
      <c r="E1066" s="104">
        <f>C1066+_xlfn.FORECAST.ETS.CONFINT(A1066,$B$2:$B$950,$A$2:$A$950,0.95,12,1)</f>
        <v>126.34351295489606</v>
      </c>
    </row>
    <row r="1067" spans="1:5">
      <c r="A1067" s="103">
        <v>49218</v>
      </c>
      <c r="C1067" s="104">
        <f>_xlfn.FORECAST.ETS(A1067,$B$2:$B$950,$A$2:$A$950,12,1)</f>
        <v>85.212224383078137</v>
      </c>
      <c r="D1067" s="104">
        <f>C1067-_xlfn.FORECAST.ETS.CONFINT(A1067,$B$2:$B$950,$A$2:$A$950,0.95,12,1)</f>
        <v>43.804032779650214</v>
      </c>
      <c r="E1067" s="104">
        <f>C1067+_xlfn.FORECAST.ETS.CONFINT(A1067,$B$2:$B$950,$A$2:$A$950,0.95,12,1)</f>
        <v>126.62041598650606</v>
      </c>
    </row>
    <row r="1068" spans="1:5">
      <c r="A1068" s="103">
        <v>49249</v>
      </c>
      <c r="C1068" s="104">
        <f>_xlfn.FORECAST.ETS(A1068,$B$2:$B$950,$A$2:$A$950,12,1)</f>
        <v>85.278981817373833</v>
      </c>
      <c r="D1068" s="104">
        <f>C1068-_xlfn.FORECAST.ETS.CONFINT(A1068,$B$2:$B$950,$A$2:$A$950,0.95,12,1)</f>
        <v>43.642485699365565</v>
      </c>
      <c r="E1068" s="104">
        <f>C1068+_xlfn.FORECAST.ETS.CONFINT(A1068,$B$2:$B$950,$A$2:$A$950,0.95,12,1)</f>
        <v>126.9154779353821</v>
      </c>
    </row>
    <row r="1069" spans="1:5">
      <c r="A1069" s="103">
        <v>49279</v>
      </c>
      <c r="C1069" s="104">
        <f>_xlfn.FORECAST.ETS(A1069,$B$2:$B$950,$A$2:$A$950,12,1)</f>
        <v>85.326132835178001</v>
      </c>
      <c r="D1069" s="104">
        <f>C1069-_xlfn.FORECAST.ETS.CONFINT(A1069,$B$2:$B$950,$A$2:$A$950,0.95,12,1)</f>
        <v>43.461344925276727</v>
      </c>
      <c r="E1069" s="104">
        <f>C1069+_xlfn.FORECAST.ETS.CONFINT(A1069,$B$2:$B$950,$A$2:$A$950,0.95,12,1)</f>
        <v>127.19092074507927</v>
      </c>
    </row>
    <row r="1070" spans="1:5">
      <c r="A1070" s="103">
        <v>49310</v>
      </c>
      <c r="C1070" s="104">
        <f>_xlfn.FORECAST.ETS(A1070,$B$2:$B$950,$A$2:$A$950,12,1)</f>
        <v>85.613680400532033</v>
      </c>
      <c r="D1070" s="104">
        <f>C1070-_xlfn.FORECAST.ETS.CONFINT(A1070,$B$2:$B$950,$A$2:$A$950,0.95,12,1)</f>
        <v>43.520609888436773</v>
      </c>
      <c r="E1070" s="104">
        <f>C1070+_xlfn.FORECAST.ETS.CONFINT(A1070,$B$2:$B$950,$A$2:$A$950,0.95,12,1)</f>
        <v>127.70675091262729</v>
      </c>
    </row>
    <row r="1071" spans="1:5">
      <c r="A1071" s="103">
        <v>49341</v>
      </c>
      <c r="C1071" s="104">
        <f>_xlfn.FORECAST.ETS(A1071,$B$2:$B$950,$A$2:$A$950,12,1)</f>
        <v>85.714116833456828</v>
      </c>
      <c r="D1071" s="104">
        <f>C1071-_xlfn.FORECAST.ETS.CONFINT(A1071,$B$2:$B$950,$A$2:$A$950,0.95,12,1)</f>
        <v>43.391540531737682</v>
      </c>
      <c r="E1071" s="104">
        <f>C1071+_xlfn.FORECAST.ETS.CONFINT(A1071,$B$2:$B$950,$A$2:$A$950,0.95,12,1)</f>
        <v>128.03669313517597</v>
      </c>
    </row>
    <row r="1072" spans="1:5">
      <c r="A1072" s="103">
        <v>49369</v>
      </c>
      <c r="C1072" s="104">
        <f>_xlfn.FORECAST.ETS(A1072,$B$2:$B$950,$A$2:$A$950,12,1)</f>
        <v>85.840331643060892</v>
      </c>
      <c r="D1072" s="104">
        <f>C1072-_xlfn.FORECAST.ETS.CONFINT(A1072,$B$2:$B$950,$A$2:$A$950,0.95,12,1)</f>
        <v>43.289487415320188</v>
      </c>
      <c r="E1072" s="104">
        <f>C1072+_xlfn.FORECAST.ETS.CONFINT(A1072,$B$2:$B$950,$A$2:$A$950,0.95,12,1)</f>
        <v>128.39117587080159</v>
      </c>
    </row>
    <row r="1073" spans="1:5">
      <c r="A1073" s="103">
        <v>49400</v>
      </c>
      <c r="C1073" s="104">
        <f>_xlfn.FORECAST.ETS(A1073,$B$2:$B$950,$A$2:$A$950,12,1)</f>
        <v>86.02723449411782</v>
      </c>
      <c r="D1073" s="104">
        <f>C1073-_xlfn.FORECAST.ETS.CONFINT(A1073,$B$2:$B$950,$A$2:$A$950,0.95,12,1)</f>
        <v>43.248121310037355</v>
      </c>
      <c r="E1073" s="104">
        <f>C1073+_xlfn.FORECAST.ETS.CONFINT(A1073,$B$2:$B$950,$A$2:$A$950,0.95,12,1)</f>
        <v>128.80634767819828</v>
      </c>
    </row>
    <row r="1074" spans="1:5">
      <c r="A1074" s="103">
        <v>49430</v>
      </c>
      <c r="C1074" s="104">
        <f>_xlfn.FORECAST.ETS(A1074,$B$2:$B$950,$A$2:$A$950,12,1)</f>
        <v>86.10957964631443</v>
      </c>
      <c r="D1074" s="104">
        <f>C1074-_xlfn.FORECAST.ETS.CONFINT(A1074,$B$2:$B$950,$A$2:$A$950,0.95,12,1)</f>
        <v>43.102193236706725</v>
      </c>
      <c r="E1074" s="104">
        <f>C1074+_xlfn.FORECAST.ETS.CONFINT(A1074,$B$2:$B$950,$A$2:$A$950,0.95,12,1)</f>
        <v>129.11696605592215</v>
      </c>
    </row>
    <row r="1075" spans="1:5">
      <c r="A1075" s="103">
        <v>49461</v>
      </c>
      <c r="C1075" s="104">
        <f>_xlfn.FORECAST.ETS(A1075,$B$2:$B$950,$A$2:$A$950,12,1)</f>
        <v>86.083034005851403</v>
      </c>
      <c r="D1075" s="104">
        <f>C1075-_xlfn.FORECAST.ETS.CONFINT(A1075,$B$2:$B$950,$A$2:$A$950,0.95,12,1)</f>
        <v>42.847366931062233</v>
      </c>
      <c r="E1075" s="104">
        <f>C1075+_xlfn.FORECAST.ETS.CONFINT(A1075,$B$2:$B$950,$A$2:$A$950,0.95,12,1)</f>
        <v>129.31870108064058</v>
      </c>
    </row>
    <row r="1076" spans="1:5">
      <c r="A1076" s="103">
        <v>49491</v>
      </c>
      <c r="C1076" s="104">
        <f>_xlfn.FORECAST.ETS(A1076,$B$2:$B$950,$A$2:$A$950,12,1)</f>
        <v>86.141031069636966</v>
      </c>
      <c r="D1076" s="104">
        <f>C1076-_xlfn.FORECAST.ETS.CONFINT(A1076,$B$2:$B$950,$A$2:$A$950,0.95,12,1)</f>
        <v>42.677072786155769</v>
      </c>
      <c r="E1076" s="104">
        <f>C1076+_xlfn.FORECAST.ETS.CONFINT(A1076,$B$2:$B$950,$A$2:$A$950,0.95,12,1)</f>
        <v>129.60498935311816</v>
      </c>
    </row>
    <row r="1077" spans="1:5">
      <c r="A1077" s="103">
        <v>49522</v>
      </c>
      <c r="C1077" s="104">
        <f>_xlfn.FORECAST.ETS(A1077,$B$2:$B$950,$A$2:$A$950,12,1)</f>
        <v>86.246044592793638</v>
      </c>
      <c r="D1077" s="104">
        <f>C1077-_xlfn.FORECAST.ETS.CONFINT(A1077,$B$2:$B$950,$A$2:$A$950,0.95,12,1)</f>
        <v>42.553781518130208</v>
      </c>
      <c r="E1077" s="104">
        <f>C1077+_xlfn.FORECAST.ETS.CONFINT(A1077,$B$2:$B$950,$A$2:$A$950,0.95,12,1)</f>
        <v>129.93830766745708</v>
      </c>
    </row>
    <row r="1078" spans="1:5">
      <c r="A1078" s="103">
        <v>49553</v>
      </c>
      <c r="C1078" s="104">
        <f>_xlfn.FORECAST.ETS(A1078,$B$2:$B$950,$A$2:$A$950,12,1)</f>
        <v>86.293708698232862</v>
      </c>
      <c r="D1078" s="104">
        <f>C1078-_xlfn.FORECAST.ETS.CONFINT(A1078,$B$2:$B$950,$A$2:$A$950,0.95,12,1)</f>
        <v>42.373124274116336</v>
      </c>
      <c r="E1078" s="104">
        <f>C1078+_xlfn.FORECAST.ETS.CONFINT(A1078,$B$2:$B$950,$A$2:$A$950,0.95,12,1)</f>
        <v>130.21429312234937</v>
      </c>
    </row>
    <row r="1079" spans="1:5">
      <c r="A1079" s="103">
        <v>49583</v>
      </c>
      <c r="C1079" s="104">
        <f>_xlfn.FORECAST.ETS(A1079,$B$2:$B$950,$A$2:$A$950,12,1)</f>
        <v>86.342290881228251</v>
      </c>
      <c r="D1079" s="104">
        <f>C1079-_xlfn.FORECAST.ETS.CONFINT(A1079,$B$2:$B$950,$A$2:$A$950,0.95,12,1)</f>
        <v>42.193365635182083</v>
      </c>
      <c r="E1079" s="104">
        <f>C1079+_xlfn.FORECAST.ETS.CONFINT(A1079,$B$2:$B$950,$A$2:$A$950,0.95,12,1)</f>
        <v>130.49121612727441</v>
      </c>
    </row>
    <row r="1080" spans="1:5">
      <c r="A1080" s="103">
        <v>49614</v>
      </c>
      <c r="C1080" s="104">
        <f>_xlfn.FORECAST.ETS(A1080,$B$2:$B$950,$A$2:$A$950,12,1)</f>
        <v>86.409048315523947</v>
      </c>
      <c r="D1080" s="104">
        <f>C1080-_xlfn.FORECAST.ETS.CONFINT(A1080,$B$2:$B$950,$A$2:$A$950,0.95,12,1)</f>
        <v>42.03175992086868</v>
      </c>
      <c r="E1080" s="104">
        <f>C1080+_xlfn.FORECAST.ETS.CONFINT(A1080,$B$2:$B$950,$A$2:$A$950,0.95,12,1)</f>
        <v>130.78633671017923</v>
      </c>
    </row>
    <row r="1081" spans="1:5">
      <c r="A1081" s="103">
        <v>49644</v>
      </c>
      <c r="C1081" s="104">
        <f>_xlfn.FORECAST.ETS(A1081,$B$2:$B$950,$A$2:$A$950,12,1)</f>
        <v>86.456199333328129</v>
      </c>
      <c r="D1081" s="104">
        <f>C1081-_xlfn.FORECAST.ETS.CONFINT(A1081,$B$2:$B$950,$A$2:$A$950,0.95,12,1)</f>
        <v>41.850522667661771</v>
      </c>
      <c r="E1081" s="104">
        <f>C1081+_xlfn.FORECAST.ETS.CONFINT(A1081,$B$2:$B$950,$A$2:$A$950,0.95,12,1)</f>
        <v>131.06187599899448</v>
      </c>
    </row>
    <row r="1082" spans="1:5">
      <c r="A1082" s="103">
        <v>49675</v>
      </c>
      <c r="C1082" s="104">
        <f>_xlfn.FORECAST.ETS(A1082,$B$2:$B$950,$A$2:$A$950,12,1)</f>
        <v>86.743746898682147</v>
      </c>
      <c r="D1082" s="104">
        <f>C1082-_xlfn.FORECAST.ETS.CONFINT(A1082,$B$2:$B$950,$A$2:$A$950,0.95,12,1)</f>
        <v>41.909654100885909</v>
      </c>
      <c r="E1082" s="104">
        <f>C1082+_xlfn.FORECAST.ETS.CONFINT(A1082,$B$2:$B$950,$A$2:$A$950,0.95,12,1)</f>
        <v>131.57783969647838</v>
      </c>
    </row>
    <row r="1083" spans="1:5">
      <c r="A1083" s="103">
        <v>49706</v>
      </c>
      <c r="C1083" s="104">
        <f>_xlfn.FORECAST.ETS(A1083,$B$2:$B$950,$A$2:$A$950,12,1)</f>
        <v>86.844183331606942</v>
      </c>
      <c r="D1083" s="104">
        <f>C1083-_xlfn.FORECAST.ETS.CONFINT(A1083,$B$2:$B$950,$A$2:$A$950,0.95,12,1)</f>
        <v>41.780452410546303</v>
      </c>
      <c r="E1083" s="104">
        <f>C1083+_xlfn.FORECAST.ETS.CONFINT(A1083,$B$2:$B$950,$A$2:$A$950,0.95,12,1)</f>
        <v>131.90791425266758</v>
      </c>
    </row>
    <row r="1084" spans="1:5">
      <c r="A1084" s="103">
        <v>49735</v>
      </c>
      <c r="C1084" s="104">
        <f>_xlfn.FORECAST.ETS(A1084,$B$2:$B$950,$A$2:$A$950,12,1)</f>
        <v>86.970398141211007</v>
      </c>
      <c r="D1084" s="104">
        <f>C1084-_xlfn.FORECAST.ETS.CONFINT(A1084,$B$2:$B$950,$A$2:$A$950,0.95,12,1)</f>
        <v>41.678193380898129</v>
      </c>
      <c r="E1084" s="104">
        <f>C1084+_xlfn.FORECAST.ETS.CONFINT(A1084,$B$2:$B$950,$A$2:$A$950,0.95,12,1)</f>
        <v>132.26260290152388</v>
      </c>
    </row>
    <row r="1085" spans="1:5">
      <c r="A1085" s="103">
        <v>49766</v>
      </c>
      <c r="C1085" s="104">
        <f>_xlfn.FORECAST.ETS(A1085,$B$2:$B$950,$A$2:$A$950,12,1)</f>
        <v>87.157300992267935</v>
      </c>
      <c r="D1085" s="104">
        <f>C1085-_xlfn.FORECAST.ETS.CONFINT(A1085,$B$2:$B$950,$A$2:$A$950,0.95,12,1)</f>
        <v>41.63658658399536</v>
      </c>
      <c r="E1085" s="104">
        <f>C1085+_xlfn.FORECAST.ETS.CONFINT(A1085,$B$2:$B$950,$A$2:$A$950,0.95,12,1)</f>
        <v>132.67801540054052</v>
      </c>
    </row>
    <row r="1086" spans="1:5">
      <c r="A1086" s="103">
        <v>49796</v>
      </c>
      <c r="C1086" s="104">
        <f>_xlfn.FORECAST.ETS(A1086,$B$2:$B$950,$A$2:$A$950,12,1)</f>
        <v>87.239646144464544</v>
      </c>
      <c r="D1086" s="104">
        <f>C1086-_xlfn.FORECAST.ETS.CONFINT(A1086,$B$2:$B$950,$A$2:$A$950,0.95,12,1)</f>
        <v>41.490383755922103</v>
      </c>
      <c r="E1086" s="104">
        <f>C1086+_xlfn.FORECAST.ETS.CONFINT(A1086,$B$2:$B$950,$A$2:$A$950,0.95,12,1)</f>
        <v>132.98890853300699</v>
      </c>
    </row>
    <row r="1087" spans="1:5">
      <c r="A1087" s="103">
        <v>49827</v>
      </c>
      <c r="C1087" s="104">
        <f>_xlfn.FORECAST.ETS(A1087,$B$2:$B$950,$A$2:$A$950,12,1)</f>
        <v>87.213100504001531</v>
      </c>
      <c r="D1087" s="104">
        <f>C1087-_xlfn.FORECAST.ETS.CONFINT(A1087,$B$2:$B$950,$A$2:$A$950,0.95,12,1)</f>
        <v>41.235249329545731</v>
      </c>
      <c r="E1087" s="104">
        <f>C1087+_xlfn.FORECAST.ETS.CONFINT(A1087,$B$2:$B$950,$A$2:$A$950,0.95,12,1)</f>
        <v>133.19095167845734</v>
      </c>
    </row>
    <row r="1088" spans="1:5">
      <c r="A1088" s="103">
        <v>49857</v>
      </c>
      <c r="C1088" s="104">
        <f>_xlfn.FORECAST.ETS(A1088,$B$2:$B$950,$A$2:$A$950,12,1)</f>
        <v>87.271097567787081</v>
      </c>
      <c r="D1088" s="104">
        <f>C1088-_xlfn.FORECAST.ETS.CONFINT(A1088,$B$2:$B$950,$A$2:$A$950,0.95,12,1)</f>
        <v>41.064614377488411</v>
      </c>
      <c r="E1088" s="104">
        <f>C1088+_xlfn.FORECAST.ETS.CONFINT(A1088,$B$2:$B$950,$A$2:$A$950,0.95,12,1)</f>
        <v>133.47758075808576</v>
      </c>
    </row>
    <row r="1089" spans="1:5">
      <c r="A1089" s="103">
        <v>49888</v>
      </c>
      <c r="C1089" s="104">
        <f>_xlfn.FORECAST.ETS(A1089,$B$2:$B$950,$A$2:$A$950,12,1)</f>
        <v>87.376111090943752</v>
      </c>
      <c r="D1089" s="104">
        <f>C1089-_xlfn.FORECAST.ETS.CONFINT(A1089,$B$2:$B$950,$A$2:$A$950,0.95,12,1)</f>
        <v>40.940950278448739</v>
      </c>
      <c r="E1089" s="104">
        <f>C1089+_xlfn.FORECAST.ETS.CONFINT(A1089,$B$2:$B$950,$A$2:$A$950,0.95,12,1)</f>
        <v>133.81127190343875</v>
      </c>
    </row>
    <row r="1090" spans="1:5">
      <c r="A1090" s="103">
        <v>49919</v>
      </c>
      <c r="C1090" s="104">
        <f>_xlfn.FORECAST.ETS(A1090,$B$2:$B$950,$A$2:$A$950,12,1)</f>
        <v>87.423775196382977</v>
      </c>
      <c r="D1090" s="104">
        <f>C1090-_xlfn.FORECAST.ETS.CONFINT(A1090,$B$2:$B$950,$A$2:$A$950,0.95,12,1)</f>
        <v>40.759888825626263</v>
      </c>
      <c r="E1090" s="104">
        <f>C1090+_xlfn.FORECAST.ETS.CONFINT(A1090,$B$2:$B$950,$A$2:$A$950,0.95,12,1)</f>
        <v>134.08766156713969</v>
      </c>
    </row>
    <row r="1091" spans="1:5">
      <c r="A1091" s="103">
        <v>49949</v>
      </c>
      <c r="C1091" s="104">
        <f>_xlfn.FORECAST.ETS(A1091,$B$2:$B$950,$A$2:$A$950,12,1)</f>
        <v>87.47235737937838</v>
      </c>
      <c r="D1091" s="104">
        <f>C1091-_xlfn.FORECAST.ETS.CONFINT(A1091,$B$2:$B$950,$A$2:$A$950,0.95,12,1)</f>
        <v>40.579695230179091</v>
      </c>
      <c r="E1091" s="104">
        <f>C1091+_xlfn.FORECAST.ETS.CONFINT(A1091,$B$2:$B$950,$A$2:$A$950,0.95,12,1)</f>
        <v>134.36501952857768</v>
      </c>
    </row>
    <row r="1092" spans="1:5">
      <c r="A1092" s="103">
        <v>49980</v>
      </c>
      <c r="C1092" s="104">
        <f>_xlfn.FORECAST.ETS(A1092,$B$2:$B$950,$A$2:$A$950,12,1)</f>
        <v>87.539114813674075</v>
      </c>
      <c r="D1092" s="104">
        <f>C1092-_xlfn.FORECAST.ETS.CONFINT(A1092,$B$2:$B$950,$A$2:$A$950,0.95,12,1)</f>
        <v>40.417624426249326</v>
      </c>
      <c r="E1092" s="104">
        <f>C1092+_xlfn.FORECAST.ETS.CONFINT(A1092,$B$2:$B$950,$A$2:$A$950,0.95,12,1)</f>
        <v>134.66060520109883</v>
      </c>
    </row>
    <row r="1093" spans="1:5">
      <c r="A1093" s="103">
        <v>50010</v>
      </c>
      <c r="C1093" s="104">
        <f>_xlfn.FORECAST.ETS(A1093,$B$2:$B$950,$A$2:$A$950,12,1)</f>
        <v>87.586265831478244</v>
      </c>
      <c r="D1093" s="104">
        <f>C1093-_xlfn.FORECAST.ETS.CONFINT(A1093,$B$2:$B$950,$A$2:$A$950,0.95,12,1)</f>
        <v>40.235892549905572</v>
      </c>
      <c r="E1093" s="104">
        <f>C1093+_xlfn.FORECAST.ETS.CONFINT(A1093,$B$2:$B$950,$A$2:$A$950,0.95,12,1)</f>
        <v>134.93663911305092</v>
      </c>
    </row>
    <row r="1094" spans="1:5">
      <c r="A1094" s="103">
        <v>50041</v>
      </c>
      <c r="C1094" s="104">
        <f>_xlfn.FORECAST.ETS(A1094,$B$2:$B$950,$A$2:$A$950,12,1)</f>
        <v>87.873813396832261</v>
      </c>
      <c r="D1094" s="104">
        <f>C1094-_xlfn.FORECAST.ETS.CONFINT(A1094,$B$2:$B$950,$A$2:$A$950,0.95,12,1)</f>
        <v>40.294500411491676</v>
      </c>
      <c r="E1094" s="104">
        <f>C1094+_xlfn.FORECAST.ETS.CONFINT(A1094,$B$2:$B$950,$A$2:$A$950,0.95,12,1)</f>
        <v>135.45312638217285</v>
      </c>
    </row>
    <row r="1095" spans="1:5">
      <c r="A1095" s="103">
        <v>50072</v>
      </c>
      <c r="C1095" s="104">
        <f>_xlfn.FORECAST.ETS(A1095,$B$2:$B$950,$A$2:$A$950,12,1)</f>
        <v>87.974249829757056</v>
      </c>
      <c r="D1095" s="104">
        <f>C1095-_xlfn.FORECAST.ETS.CONFINT(A1095,$B$2:$B$950,$A$2:$A$950,0.95,12,1)</f>
        <v>40.164780058840776</v>
      </c>
      <c r="E1095" s="104">
        <f>C1095+_xlfn.FORECAST.ETS.CONFINT(A1095,$B$2:$B$950,$A$2:$A$950,0.95,12,1)</f>
        <v>135.78371960067335</v>
      </c>
    </row>
    <row r="1096" spans="1:5">
      <c r="A1096" s="103">
        <v>50100</v>
      </c>
      <c r="C1096" s="104">
        <f>_xlfn.FORECAST.ETS(A1096,$B$2:$B$950,$A$2:$A$950,12,1)</f>
        <v>88.100464639361121</v>
      </c>
      <c r="D1096" s="104">
        <f>C1096-_xlfn.FORECAST.ETS.CONFINT(A1096,$B$2:$B$950,$A$2:$A$950,0.95,12,1)</f>
        <v>40.061940771580609</v>
      </c>
      <c r="E1096" s="104">
        <f>C1096+_xlfn.FORECAST.ETS.CONFINT(A1096,$B$2:$B$950,$A$2:$A$950,0.95,12,1)</f>
        <v>136.13898850714162</v>
      </c>
    </row>
    <row r="1097" spans="1:5">
      <c r="A1097" s="103">
        <v>50131</v>
      </c>
      <c r="C1097" s="104">
        <f>_xlfn.FORECAST.ETS(A1097,$B$2:$B$950,$A$2:$A$950,12,1)</f>
        <v>88.287367490418063</v>
      </c>
      <c r="D1097" s="104">
        <f>C1097-_xlfn.FORECAST.ETS.CONFINT(A1097,$B$2:$B$950,$A$2:$A$950,0.95,12,1)</f>
        <v>40.019726449030031</v>
      </c>
      <c r="E1097" s="104">
        <f>C1097+_xlfn.FORECAST.ETS.CONFINT(A1097,$B$2:$B$950,$A$2:$A$950,0.95,12,1)</f>
        <v>136.5550085318061</v>
      </c>
    </row>
    <row r="1098" spans="1:5">
      <c r="A1098" s="103">
        <v>50161</v>
      </c>
      <c r="C1098" s="104">
        <f>_xlfn.FORECAST.ETS(A1098,$B$2:$B$950,$A$2:$A$950,12,1)</f>
        <v>88.369712642614672</v>
      </c>
      <c r="D1098" s="104">
        <f>C1098-_xlfn.FORECAST.ETS.CONFINT(A1098,$B$2:$B$950,$A$2:$A$950,0.95,12,1)</f>
        <v>39.872889358065443</v>
      </c>
      <c r="E1098" s="104">
        <f>C1098+_xlfn.FORECAST.ETS.CONFINT(A1098,$B$2:$B$950,$A$2:$A$950,0.95,12,1)</f>
        <v>136.86653592716391</v>
      </c>
    </row>
    <row r="1099" spans="1:5">
      <c r="A1099" s="103">
        <v>50192</v>
      </c>
      <c r="C1099" s="104">
        <f>_xlfn.FORECAST.ETS(A1099,$B$2:$B$950,$A$2:$A$950,12,1)</f>
        <v>88.343167002151645</v>
      </c>
      <c r="D1099" s="104">
        <f>C1099-_xlfn.FORECAST.ETS.CONFINT(A1099,$B$2:$B$950,$A$2:$A$950,0.95,12,1)</f>
        <v>39.617094449825267</v>
      </c>
      <c r="E1099" s="104">
        <f>C1099+_xlfn.FORECAST.ETS.CONFINT(A1099,$B$2:$B$950,$A$2:$A$950,0.95,12,1)</f>
        <v>137.06923955447803</v>
      </c>
    </row>
    <row r="1100" spans="1:5">
      <c r="A1100" s="103">
        <v>50222</v>
      </c>
      <c r="C1100" s="104">
        <f>_xlfn.FORECAST.ETS(A1100,$B$2:$B$950,$A$2:$A$950,12,1)</f>
        <v>88.401164065937195</v>
      </c>
      <c r="D1100" s="104">
        <f>C1100-_xlfn.FORECAST.ETS.CONFINT(A1100,$B$2:$B$950,$A$2:$A$950,0.95,12,1)</f>
        <v>39.445773303046217</v>
      </c>
      <c r="E1100" s="104">
        <f>C1100+_xlfn.FORECAST.ETS.CONFINT(A1100,$B$2:$B$950,$A$2:$A$950,0.95,12,1)</f>
        <v>137.35655482882817</v>
      </c>
    </row>
    <row r="1101" spans="1:5">
      <c r="A1101" s="103">
        <v>50253</v>
      </c>
      <c r="C1101" s="104">
        <f>_xlfn.FORECAST.ETS(A1101,$B$2:$B$950,$A$2:$A$950,12,1)</f>
        <v>88.50617758909388</v>
      </c>
      <c r="D1101" s="104">
        <f>C1101-_xlfn.FORECAST.ETS.CONFINT(A1101,$B$2:$B$950,$A$2:$A$950,0.95,12,1)</f>
        <v>39.321397790736967</v>
      </c>
      <c r="E1101" s="104">
        <f>C1101+_xlfn.FORECAST.ETS.CONFINT(A1101,$B$2:$B$950,$A$2:$A$950,0.95,12,1)</f>
        <v>137.69095738745079</v>
      </c>
    </row>
    <row r="1102" spans="1:5">
      <c r="A1102" s="103">
        <v>50284</v>
      </c>
      <c r="C1102" s="104">
        <f>_xlfn.FORECAST.ETS(A1102,$B$2:$B$950,$A$2:$A$950,12,1)</f>
        <v>88.553841694533105</v>
      </c>
      <c r="D1102" s="104">
        <f>C1102-_xlfn.FORECAST.ETS.CONFINT(A1102,$B$2:$B$950,$A$2:$A$950,0.95,12,1)</f>
        <v>39.139600188942602</v>
      </c>
      <c r="E1102" s="104">
        <f>C1102+_xlfn.FORECAST.ETS.CONFINT(A1102,$B$2:$B$950,$A$2:$A$950,0.95,12,1)</f>
        <v>137.9680832001236</v>
      </c>
    </row>
    <row r="1103" spans="1:5">
      <c r="A1103" s="103">
        <v>50314</v>
      </c>
      <c r="C1103" s="104">
        <f>_xlfn.FORECAST.ETS(A1103,$B$2:$B$950,$A$2:$A$950,12,1)</f>
        <v>88.602423877528494</v>
      </c>
      <c r="D1103" s="104">
        <f>C1103-_xlfn.FORECAST.ETS.CONFINT(A1103,$B$2:$B$950,$A$2:$A$950,0.95,12,1)</f>
        <v>38.958646180530295</v>
      </c>
      <c r="E1103" s="104">
        <f>C1103+_xlfn.FORECAST.ETS.CONFINT(A1103,$B$2:$B$950,$A$2:$A$950,0.95,12,1)</f>
        <v>138.24620157452671</v>
      </c>
    </row>
    <row r="1104" spans="1:5">
      <c r="A1104" s="103">
        <v>50345</v>
      </c>
      <c r="C1104" s="104">
        <f>_xlfn.FORECAST.ETS(A1104,$B$2:$B$950,$A$2:$A$950,12,1)</f>
        <v>88.66918131182419</v>
      </c>
      <c r="D1104" s="104">
        <f>C1104-_xlfn.FORECAST.ETS.CONFINT(A1104,$B$2:$B$950,$A$2:$A$950,0.95,12,1)</f>
        <v>38.795791160531628</v>
      </c>
      <c r="E1104" s="104">
        <f>C1104+_xlfn.FORECAST.ETS.CONFINT(A1104,$B$2:$B$950,$A$2:$A$950,0.95,12,1)</f>
        <v>138.54257146311676</v>
      </c>
    </row>
    <row r="1105" spans="1:5">
      <c r="A1105" s="103">
        <v>50375</v>
      </c>
      <c r="C1105" s="104">
        <f>_xlfn.FORECAST.ETS(A1105,$B$2:$B$950,$A$2:$A$950,12,1)</f>
        <v>88.716332329628358</v>
      </c>
      <c r="D1105" s="104">
        <f>C1105-_xlfn.FORECAST.ETS.CONFINT(A1105,$B$2:$B$950,$A$2:$A$950,0.95,12,1)</f>
        <v>38.613251715391037</v>
      </c>
      <c r="E1105" s="104">
        <f>C1105+_xlfn.FORECAST.ETS.CONFINT(A1105,$B$2:$B$950,$A$2:$A$950,0.95,12,1)</f>
        <v>138.81941294386567</v>
      </c>
    </row>
    <row r="1106" spans="1:5">
      <c r="A1106" s="103">
        <v>50406</v>
      </c>
      <c r="C1106" s="104">
        <f>_xlfn.FORECAST.ETS(A1106,$B$2:$B$950,$A$2:$A$950,12,1)</f>
        <v>89.003879894982376</v>
      </c>
      <c r="D1106" s="104">
        <f>C1106-_xlfn.FORECAST.ETS.CONFINT(A1106,$B$2:$B$950,$A$2:$A$950,0.95,12,1)</f>
        <v>38.671029095610223</v>
      </c>
      <c r="E1106" s="104">
        <f>C1106+_xlfn.FORECAST.ETS.CONFINT(A1106,$B$2:$B$950,$A$2:$A$950,0.95,12,1)</f>
        <v>139.33673069435451</v>
      </c>
    </row>
    <row r="1107" spans="1:5">
      <c r="A1107" s="103">
        <v>50437</v>
      </c>
      <c r="C1107" s="104">
        <f>_xlfn.FORECAST.ETS(A1107,$B$2:$B$950,$A$2:$A$950,12,1)</f>
        <v>89.104316327907185</v>
      </c>
      <c r="D1107" s="104">
        <f>C1107-_xlfn.FORECAST.ETS.CONFINT(A1107,$B$2:$B$950,$A$2:$A$950,0.95,12,1)</f>
        <v>38.540485642773213</v>
      </c>
      <c r="E1107" s="104">
        <f>C1107+_xlfn.FORECAST.ETS.CONFINT(A1107,$B$2:$B$950,$A$2:$A$950,0.95,12,1)</f>
        <v>139.66814701304116</v>
      </c>
    </row>
    <row r="1108" spans="1:5">
      <c r="A1108" s="103">
        <v>50465</v>
      </c>
      <c r="C1108" s="104">
        <f>_xlfn.FORECAST.ETS(A1108,$B$2:$B$950,$A$2:$A$950,12,1)</f>
        <v>89.23053113751125</v>
      </c>
      <c r="D1108" s="104">
        <f>C1108-_xlfn.FORECAST.ETS.CONFINT(A1108,$B$2:$B$950,$A$2:$A$950,0.95,12,1)</f>
        <v>38.436770915236565</v>
      </c>
      <c r="E1108" s="104">
        <f>C1108+_xlfn.FORECAST.ETS.CONFINT(A1108,$B$2:$B$950,$A$2:$A$950,0.95,12,1)</f>
        <v>140.02429135978593</v>
      </c>
    </row>
    <row r="1109" spans="1:5">
      <c r="A1109" s="103">
        <v>50496</v>
      </c>
      <c r="C1109" s="104">
        <f>_xlfn.FORECAST.ETS(A1109,$B$2:$B$950,$A$2:$A$950,12,1)</f>
        <v>89.417433988568177</v>
      </c>
      <c r="D1109" s="104">
        <f>C1109-_xlfn.FORECAST.ETS.CONFINT(A1109,$B$2:$B$950,$A$2:$A$950,0.95,12,1)</f>
        <v>38.393659508552119</v>
      </c>
      <c r="E1109" s="104">
        <f>C1109+_xlfn.FORECAST.ETS.CONFINT(A1109,$B$2:$B$950,$A$2:$A$950,0.95,12,1)</f>
        <v>140.44120846858425</v>
      </c>
    </row>
    <row r="1110" spans="1:5">
      <c r="A1110" s="103">
        <v>50526</v>
      </c>
      <c r="C1110" s="104">
        <f>_xlfn.FORECAST.ETS(A1110,$B$2:$B$950,$A$2:$A$950,12,1)</f>
        <v>89.499779140764787</v>
      </c>
      <c r="D1110" s="104">
        <f>C1110-_xlfn.FORECAST.ETS.CONFINT(A1110,$B$2:$B$950,$A$2:$A$950,0.95,12,1)</f>
        <v>38.245904091502055</v>
      </c>
      <c r="E1110" s="104">
        <f>C1110+_xlfn.FORECAST.ETS.CONFINT(A1110,$B$2:$B$950,$A$2:$A$950,0.95,12,1)</f>
        <v>140.75365419002753</v>
      </c>
    </row>
    <row r="1111" spans="1:5">
      <c r="A1111" s="103">
        <v>50557</v>
      </c>
      <c r="C1111" s="104">
        <f>_xlfn.FORECAST.ETS(A1111,$B$2:$B$950,$A$2:$A$950,12,1)</f>
        <v>89.473233500301774</v>
      </c>
      <c r="D1111" s="104">
        <f>C1111-_xlfn.FORECAST.ETS.CONFINT(A1111,$B$2:$B$950,$A$2:$A$950,0.95,12,1)</f>
        <v>37.989170008252486</v>
      </c>
      <c r="E1111" s="104">
        <f>C1111+_xlfn.FORECAST.ETS.CONFINT(A1111,$B$2:$B$950,$A$2:$A$950,0.95,12,1)</f>
        <v>140.95729699235108</v>
      </c>
    </row>
    <row r="1112" spans="1:5">
      <c r="A1112" s="103">
        <v>50587</v>
      </c>
      <c r="C1112" s="104">
        <f>_xlfn.FORECAST.ETS(A1112,$B$2:$B$950,$A$2:$A$950,12,1)</f>
        <v>89.531230564087323</v>
      </c>
      <c r="D1112" s="104">
        <f>C1112-_xlfn.FORECAST.ETS.CONFINT(A1112,$B$2:$B$950,$A$2:$A$950,0.95,12,1)</f>
        <v>37.81688922193117</v>
      </c>
      <c r="E1112" s="104">
        <f>C1112+_xlfn.FORECAST.ETS.CONFINT(A1112,$B$2:$B$950,$A$2:$A$950,0.95,12,1)</f>
        <v>141.24557190624347</v>
      </c>
    </row>
    <row r="1113" spans="1:5">
      <c r="A1113" s="103">
        <v>50618</v>
      </c>
      <c r="C1113" s="104">
        <f>_xlfn.FORECAST.ETS(A1113,$B$2:$B$950,$A$2:$A$950,12,1)</f>
        <v>89.636244087243995</v>
      </c>
      <c r="D1113" s="104">
        <f>C1113-_xlfn.FORECAST.ETS.CONFINT(A1113,$B$2:$B$950,$A$2:$A$950,0.95,12,1)</f>
        <v>37.691533981534427</v>
      </c>
      <c r="E1113" s="104">
        <f>C1113+_xlfn.FORECAST.ETS.CONFINT(A1113,$B$2:$B$950,$A$2:$A$950,0.95,12,1)</f>
        <v>141.58095419295356</v>
      </c>
    </row>
    <row r="1114" spans="1:5">
      <c r="A1114" s="103">
        <v>50649</v>
      </c>
      <c r="C1114" s="104">
        <f>_xlfn.FORECAST.ETS(A1114,$B$2:$B$950,$A$2:$A$950,12,1)</f>
        <v>89.683908192683219</v>
      </c>
      <c r="D1114" s="104">
        <f>C1114-_xlfn.FORECAST.ETS.CONFINT(A1114,$B$2:$B$950,$A$2:$A$950,0.95,12,1)</f>
        <v>37.508736930917486</v>
      </c>
      <c r="E1114" s="104">
        <f>C1114+_xlfn.FORECAST.ETS.CONFINT(A1114,$B$2:$B$950,$A$2:$A$950,0.95,12,1)</f>
        <v>141.85907945444896</v>
      </c>
    </row>
    <row r="1115" spans="1:5">
      <c r="A1115" s="103">
        <v>50679</v>
      </c>
      <c r="C1115" s="104">
        <f>_xlfn.FORECAST.ETS(A1115,$B$2:$B$950,$A$2:$A$950,12,1)</f>
        <v>89.732490375678609</v>
      </c>
      <c r="D1115" s="104">
        <f>C1115-_xlfn.FORECAST.ETS.CONFINT(A1115,$B$2:$B$950,$A$2:$A$950,0.95,12,1)</f>
        <v>37.326764112798635</v>
      </c>
      <c r="E1115" s="104">
        <f>C1115+_xlfn.FORECAST.ETS.CONFINT(A1115,$B$2:$B$950,$A$2:$A$950,0.95,12,1)</f>
        <v>142.13821663855859</v>
      </c>
    </row>
    <row r="1116" spans="1:5">
      <c r="A1116" s="103">
        <v>50710</v>
      </c>
      <c r="C1116" s="104">
        <f>_xlfn.FORECAST.ETS(A1116,$B$2:$B$950,$A$2:$A$950,12,1)</f>
        <v>89.799247809974304</v>
      </c>
      <c r="D1116" s="104">
        <f>C1116-_xlfn.FORECAST.ETS.CONFINT(A1116,$B$2:$B$950,$A$2:$A$950,0.95,12,1)</f>
        <v>37.162871274313126</v>
      </c>
      <c r="E1116" s="104">
        <f>C1116+_xlfn.FORECAST.ETS.CONFINT(A1116,$B$2:$B$950,$A$2:$A$950,0.95,12,1)</f>
        <v>142.43562434563549</v>
      </c>
    </row>
    <row r="1117" spans="1:5">
      <c r="A1117" s="103">
        <v>50740</v>
      </c>
      <c r="C1117" s="104">
        <f>_xlfn.FORECAST.ETS(A1117,$B$2:$B$950,$A$2:$A$950,12,1)</f>
        <v>89.846398827778486</v>
      </c>
      <c r="D1117" s="104">
        <f>C1117-_xlfn.FORECAST.ETS.CONFINT(A1117,$B$2:$B$950,$A$2:$A$950,0.95,12,1)</f>
        <v>36.97927534646638</v>
      </c>
      <c r="E1117" s="104">
        <f>C1117+_xlfn.FORECAST.ETS.CONFINT(A1117,$B$2:$B$950,$A$2:$A$950,0.95,12,1)</f>
        <v>142.71352230909059</v>
      </c>
    </row>
    <row r="1118" spans="1:5">
      <c r="A1118" s="103">
        <v>50771</v>
      </c>
      <c r="C1118" s="104">
        <f>_xlfn.FORECAST.ETS(A1118,$B$2:$B$950,$A$2:$A$950,12,1)</f>
        <v>90.133946393132504</v>
      </c>
      <c r="D1118" s="104">
        <f>C1118-_xlfn.FORECAST.ETS.CONFINT(A1118,$B$2:$B$950,$A$2:$A$950,0.95,12,1)</f>
        <v>37.035977916976705</v>
      </c>
      <c r="E1118" s="104">
        <f>C1118+_xlfn.FORECAST.ETS.CONFINT(A1118,$B$2:$B$950,$A$2:$A$950,0.95,12,1)</f>
        <v>143.23191486928829</v>
      </c>
    </row>
    <row r="1119" spans="1:5">
      <c r="A1119" s="103">
        <v>50802</v>
      </c>
      <c r="C1119" s="104">
        <f>_xlfn.FORECAST.ETS(A1119,$B$2:$B$950,$A$2:$A$950,12,1)</f>
        <v>90.234382826057299</v>
      </c>
      <c r="D1119" s="104">
        <f>C1119-_xlfn.FORECAST.ETS.CONFINT(A1119,$B$2:$B$950,$A$2:$A$950,0.95,12,1)</f>
        <v>36.904368679698564</v>
      </c>
      <c r="E1119" s="104">
        <f>C1119+_xlfn.FORECAST.ETS.CONFINT(A1119,$B$2:$B$950,$A$2:$A$950,0.95,12,1)</f>
        <v>143.56439697241603</v>
      </c>
    </row>
    <row r="1120" spans="1:5">
      <c r="A1120" s="103">
        <v>50830</v>
      </c>
      <c r="C1120" s="104">
        <f>_xlfn.FORECAST.ETS(A1120,$B$2:$B$950,$A$2:$A$950,12,1)</f>
        <v>90.360597635661364</v>
      </c>
      <c r="D1120" s="104">
        <f>C1120-_xlfn.FORECAST.ETS.CONFINT(A1120,$B$2:$B$950,$A$2:$A$950,0.95,12,1)</f>
        <v>36.799543114612128</v>
      </c>
      <c r="E1120" s="104">
        <f>C1120+_xlfn.FORECAST.ETS.CONFINT(A1120,$B$2:$B$950,$A$2:$A$950,0.95,12,1)</f>
        <v>143.92165215671059</v>
      </c>
    </row>
    <row r="1121" spans="1:5">
      <c r="A1121" s="103">
        <v>50861</v>
      </c>
      <c r="C1121" s="104">
        <f>_xlfn.FORECAST.ETS(A1121,$B$2:$B$950,$A$2:$A$950,12,1)</f>
        <v>90.547500486718306</v>
      </c>
      <c r="D1121" s="104">
        <f>C1121-_xlfn.FORECAST.ETS.CONFINT(A1121,$B$2:$B$950,$A$2:$A$950,0.95,12,1)</f>
        <v>36.755303518290646</v>
      </c>
      <c r="E1121" s="104">
        <f>C1121+_xlfn.FORECAST.ETS.CONFINT(A1121,$B$2:$B$950,$A$2:$A$950,0.95,12,1)</f>
        <v>144.33969745514597</v>
      </c>
    </row>
    <row r="1122" spans="1:5">
      <c r="A1122" s="103">
        <v>50891</v>
      </c>
      <c r="C1122" s="104">
        <f>_xlfn.FORECAST.ETS(A1122,$B$2:$B$950,$A$2:$A$950,12,1)</f>
        <v>90.629845638914915</v>
      </c>
      <c r="D1122" s="104">
        <f>C1122-_xlfn.FORECAST.ETS.CONFINT(A1122,$B$2:$B$950,$A$2:$A$950,0.95,12,1)</f>
        <v>36.606402869109147</v>
      </c>
      <c r="E1122" s="104">
        <f>C1122+_xlfn.FORECAST.ETS.CONFINT(A1122,$B$2:$B$950,$A$2:$A$950,0.95,12,1)</f>
        <v>144.6532884087207</v>
      </c>
    </row>
    <row r="1123" spans="1:5">
      <c r="A1123" s="103">
        <v>50922</v>
      </c>
      <c r="C1123" s="104">
        <f>_xlfn.FORECAST.ETS(A1123,$B$2:$B$950,$A$2:$A$950,12,1)</f>
        <v>90.603299998451888</v>
      </c>
      <c r="D1123" s="104">
        <f>C1123-_xlfn.FORECAST.ETS.CONFINT(A1123,$B$2:$B$950,$A$2:$A$950,0.95,12,1)</f>
        <v>36.348506814387299</v>
      </c>
      <c r="E1123" s="104">
        <f>C1123+_xlfn.FORECAST.ETS.CONFINT(A1123,$B$2:$B$950,$A$2:$A$950,0.95,12,1)</f>
        <v>144.85809318251648</v>
      </c>
    </row>
    <row r="1124" spans="1:5">
      <c r="A1124" s="103">
        <v>50952</v>
      </c>
      <c r="C1124" s="104">
        <f>_xlfn.FORECAST.ETS(A1124,$B$2:$B$950,$A$2:$A$950,12,1)</f>
        <v>90.661297062237438</v>
      </c>
      <c r="D1124" s="104">
        <f>C1124-_xlfn.FORECAST.ETS.CONFINT(A1124,$B$2:$B$950,$A$2:$A$950,0.95,12,1)</f>
        <v>36.175047614131046</v>
      </c>
      <c r="E1124" s="104">
        <f>C1124+_xlfn.FORECAST.ETS.CONFINT(A1124,$B$2:$B$950,$A$2:$A$950,0.95,12,1)</f>
        <v>145.14754651034383</v>
      </c>
    </row>
    <row r="1125" spans="1:5">
      <c r="A1125" s="103">
        <v>50983</v>
      </c>
      <c r="C1125" s="104">
        <f>_xlfn.FORECAST.ETS(A1125,$B$2:$B$950,$A$2:$A$950,12,1)</f>
        <v>90.766310585394109</v>
      </c>
      <c r="D1125" s="104">
        <f>C1125-_xlfn.FORECAST.ETS.CONFINT(A1125,$B$2:$B$950,$A$2:$A$950,0.95,12,1)</f>
        <v>36.048497808098567</v>
      </c>
      <c r="E1125" s="104">
        <f>C1125+_xlfn.FORECAST.ETS.CONFINT(A1125,$B$2:$B$950,$A$2:$A$950,0.95,12,1)</f>
        <v>145.48412336268964</v>
      </c>
    </row>
    <row r="1126" spans="1:5">
      <c r="A1126" s="103">
        <v>51014</v>
      </c>
      <c r="C1126" s="104">
        <f>_xlfn.FORECAST.ETS(A1126,$B$2:$B$950,$A$2:$A$950,12,1)</f>
        <v>90.813974690833334</v>
      </c>
      <c r="D1126" s="104">
        <f>C1126-_xlfn.FORECAST.ETS.CONFINT(A1126,$B$2:$B$950,$A$2:$A$950,0.95,12,1)</f>
        <v>35.864490324944775</v>
      </c>
      <c r="E1126" s="104">
        <f>C1126+_xlfn.FORECAST.ETS.CONFINT(A1126,$B$2:$B$950,$A$2:$A$950,0.95,12,1)</f>
        <v>145.7634590567219</v>
      </c>
    </row>
    <row r="1127" spans="1:5">
      <c r="A1127" s="103">
        <v>51044</v>
      </c>
      <c r="C1127" s="104">
        <f>_xlfn.FORECAST.ETS(A1127,$B$2:$B$950,$A$2:$A$950,12,1)</f>
        <v>90.862556873828723</v>
      </c>
      <c r="D1127" s="104">
        <f>C1127-_xlfn.FORECAST.ETS.CONFINT(A1127,$B$2:$B$950,$A$2:$A$950,0.95,12,1)</f>
        <v>35.681291486375038</v>
      </c>
      <c r="E1127" s="104">
        <f>C1127+_xlfn.FORECAST.ETS.CONFINT(A1127,$B$2:$B$950,$A$2:$A$950,0.95,12,1)</f>
        <v>146.0438222612824</v>
      </c>
    </row>
    <row r="1128" spans="1:5">
      <c r="A1128" s="103">
        <v>51075</v>
      </c>
      <c r="C1128" s="104">
        <f>_xlfn.FORECAST.ETS(A1128,$B$2:$B$950,$A$2:$A$950,12,1)</f>
        <v>90.929314308124432</v>
      </c>
      <c r="D1128" s="104">
        <f>C1128-_xlfn.FORECAST.ETS.CONFINT(A1128,$B$2:$B$950,$A$2:$A$950,0.95,12,1)</f>
        <v>35.516157312844079</v>
      </c>
      <c r="E1128" s="104">
        <f>C1128+_xlfn.FORECAST.ETS.CONFINT(A1128,$B$2:$B$950,$A$2:$A$950,0.95,12,1)</f>
        <v>146.34247130340478</v>
      </c>
    </row>
    <row r="1129" spans="1:5">
      <c r="A1129" s="103">
        <v>51105</v>
      </c>
      <c r="C1129" s="104">
        <f>_xlfn.FORECAST.ETS(A1129,$B$2:$B$950,$A$2:$A$950,12,1)</f>
        <v>90.976465325928601</v>
      </c>
      <c r="D1129" s="104">
        <f>C1129-_xlfn.FORECAST.ETS.CONFINT(A1129,$B$2:$B$950,$A$2:$A$950,0.95,12,1)</f>
        <v>35.331305003149943</v>
      </c>
      <c r="E1129" s="104">
        <f>C1129+_xlfn.FORECAST.ETS.CONFINT(A1129,$B$2:$B$950,$A$2:$A$950,0.95,12,1)</f>
        <v>146.62162564870727</v>
      </c>
    </row>
    <row r="1130" spans="1:5">
      <c r="A1130" s="103">
        <v>51136</v>
      </c>
      <c r="C1130" s="104">
        <f>_xlfn.FORECAST.ETS(A1130,$B$2:$B$950,$A$2:$A$950,12,1)</f>
        <v>91.264012891282619</v>
      </c>
      <c r="D1130" s="104">
        <f>C1130-_xlfn.FORECAST.ETS.CONFINT(A1130,$B$2:$B$950,$A$2:$A$950,0.95,12,1)</f>
        <v>35.386736407413252</v>
      </c>
      <c r="E1130" s="104">
        <f>C1130+_xlfn.FORECAST.ETS.CONFINT(A1130,$B$2:$B$950,$A$2:$A$950,0.95,12,1)</f>
        <v>147.14128937515198</v>
      </c>
    </row>
    <row r="1131" spans="1:5">
      <c r="A1131" s="103">
        <v>51167</v>
      </c>
      <c r="C1131" s="104">
        <f>_xlfn.FORECAST.ETS(A1131,$B$2:$B$950,$A$2:$A$950,12,1)</f>
        <v>91.364449324207413</v>
      </c>
      <c r="D1131" s="104">
        <f>C1131-_xlfn.FORECAST.ETS.CONFINT(A1131,$B$2:$B$950,$A$2:$A$950,0.95,12,1)</f>
        <v>35.253866109872625</v>
      </c>
      <c r="E1131" s="104">
        <f>C1131+_xlfn.FORECAST.ETS.CONFINT(A1131,$B$2:$B$950,$A$2:$A$950,0.95,12,1)</f>
        <v>147.47503253854219</v>
      </c>
    </row>
    <row r="1132" spans="1:5">
      <c r="A1132" s="103">
        <v>51196</v>
      </c>
      <c r="C1132" s="104">
        <f>_xlfn.FORECAST.ETS(A1132,$B$2:$B$950,$A$2:$A$950,12,1)</f>
        <v>91.490664133811492</v>
      </c>
      <c r="D1132" s="104">
        <f>C1132-_xlfn.FORECAST.ETS.CONFINT(A1132,$B$2:$B$950,$A$2:$A$950,0.95,12,1)</f>
        <v>35.147740265318504</v>
      </c>
      <c r="E1132" s="104">
        <f>C1132+_xlfn.FORECAST.ETS.CONFINT(A1132,$B$2:$B$950,$A$2:$A$950,0.95,12,1)</f>
        <v>147.83358800230448</v>
      </c>
    </row>
    <row r="1133" spans="1:5">
      <c r="A1133" s="103">
        <v>51227</v>
      </c>
      <c r="C1133" s="104">
        <f>_xlfn.FORECAST.ETS(A1133,$B$2:$B$950,$A$2:$A$950,12,1)</f>
        <v>91.67756698486842</v>
      </c>
      <c r="D1133" s="104">
        <f>C1133-_xlfn.FORECAST.ETS.CONFINT(A1133,$B$2:$B$950,$A$2:$A$950,0.95,12,1)</f>
        <v>35.102186365760936</v>
      </c>
      <c r="E1133" s="104">
        <f>C1133+_xlfn.FORECAST.ETS.CONFINT(A1133,$B$2:$B$950,$A$2:$A$950,0.95,12,1)</f>
        <v>148.25294760397591</v>
      </c>
    </row>
    <row r="1134" spans="1:5">
      <c r="A1134" s="103">
        <v>51257</v>
      </c>
      <c r="C1134" s="104">
        <f>_xlfn.FORECAST.ETS(A1134,$B$2:$B$950,$A$2:$A$950,12,1)</f>
        <v>91.759912137065029</v>
      </c>
      <c r="D1134" s="104">
        <f>C1134-_xlfn.FORECAST.ETS.CONFINT(A1134,$B$2:$B$950,$A$2:$A$950,0.95,12,1)</f>
        <v>34.951957631619443</v>
      </c>
      <c r="E1134" s="104">
        <f>C1134+_xlfn.FORECAST.ETS.CONFINT(A1134,$B$2:$B$950,$A$2:$A$950,0.95,12,1)</f>
        <v>148.56786664251061</v>
      </c>
    </row>
    <row r="1135" spans="1:5">
      <c r="A1135" s="103">
        <v>51288</v>
      </c>
      <c r="C1135" s="104">
        <f>_xlfn.FORECAST.ETS(A1135,$B$2:$B$950,$A$2:$A$950,12,1)</f>
        <v>91.733366496602002</v>
      </c>
      <c r="D1135" s="104">
        <f>C1135-_xlfn.FORECAST.ETS.CONFINT(A1135,$B$2:$B$950,$A$2:$A$950,0.95,12,1)</f>
        <v>34.692719947494531</v>
      </c>
      <c r="E1135" s="104">
        <f>C1135+_xlfn.FORECAST.ETS.CONFINT(A1135,$B$2:$B$950,$A$2:$A$950,0.95,12,1)</f>
        <v>148.77401304570947</v>
      </c>
    </row>
    <row r="1136" spans="1:5">
      <c r="A1136" s="103">
        <v>51318</v>
      </c>
      <c r="C1136" s="104">
        <f>_xlfn.FORECAST.ETS(A1136,$B$2:$B$950,$A$2:$A$950,12,1)</f>
        <v>91.791363560387552</v>
      </c>
      <c r="D1136" s="104">
        <f>C1136-_xlfn.FORECAST.ETS.CONFINT(A1136,$B$2:$B$950,$A$2:$A$950,0.95,12,1)</f>
        <v>34.517905806023684</v>
      </c>
      <c r="E1136" s="104">
        <f>C1136+_xlfn.FORECAST.ETS.CONFINT(A1136,$B$2:$B$950,$A$2:$A$950,0.95,12,1)</f>
        <v>149.06482131475141</v>
      </c>
    </row>
    <row r="1137" spans="1:5">
      <c r="A1137" s="103">
        <v>51349</v>
      </c>
      <c r="C1137" s="104">
        <f>_xlfn.FORECAST.ETS(A1137,$B$2:$B$950,$A$2:$A$950,12,1)</f>
        <v>91.896377083544223</v>
      </c>
      <c r="D1137" s="104">
        <f>C1137-_xlfn.FORECAST.ETS.CONFINT(A1137,$B$2:$B$950,$A$2:$A$950,0.95,12,1)</f>
        <v>34.38998797505824</v>
      </c>
      <c r="E1137" s="104">
        <f>C1137+_xlfn.FORECAST.ETS.CONFINT(A1137,$B$2:$B$950,$A$2:$A$950,0.95,12,1)</f>
        <v>149.40276619203021</v>
      </c>
    </row>
    <row r="1138" spans="1:5">
      <c r="A1138" s="103">
        <v>51380</v>
      </c>
      <c r="C1138" s="104">
        <f>_xlfn.FORECAST.ETS(A1138,$B$2:$B$950,$A$2:$A$950,12,1)</f>
        <v>91.944041188983462</v>
      </c>
      <c r="D1138" s="104">
        <f>C1138-_xlfn.FORECAST.ETS.CONFINT(A1138,$B$2:$B$950,$A$2:$A$950,0.95,12,1)</f>
        <v>34.204599606915693</v>
      </c>
      <c r="E1138" s="104">
        <f>C1138+_xlfn.FORECAST.ETS.CONFINT(A1138,$B$2:$B$950,$A$2:$A$950,0.95,12,1)</f>
        <v>149.68348277105122</v>
      </c>
    </row>
    <row r="1139" spans="1:5">
      <c r="A1139" s="103">
        <v>51410</v>
      </c>
      <c r="C1139" s="104">
        <f>_xlfn.FORECAST.ETS(A1139,$B$2:$B$950,$A$2:$A$950,12,1)</f>
        <v>91.992623371978851</v>
      </c>
      <c r="D1139" s="104">
        <f>C1139-_xlfn.FORECAST.ETS.CONFINT(A1139,$B$2:$B$950,$A$2:$A$950,0.95,12,1)</f>
        <v>34.020007242638172</v>
      </c>
      <c r="E1139" s="104">
        <f>C1139+_xlfn.FORECAST.ETS.CONFINT(A1139,$B$2:$B$950,$A$2:$A$950,0.95,12,1)</f>
        <v>149.96523950131953</v>
      </c>
    </row>
    <row r="1140" spans="1:5">
      <c r="A1140" s="103">
        <v>51441</v>
      </c>
      <c r="C1140" s="104">
        <f>_xlfn.FORECAST.ETS(A1140,$B$2:$B$950,$A$2:$A$950,12,1)</f>
        <v>92.059380806274547</v>
      </c>
      <c r="D1140" s="104">
        <f>C1140-_xlfn.FORECAST.ETS.CONFINT(A1140,$B$2:$B$950,$A$2:$A$950,0.95,12,1)</f>
        <v>33.853467117793102</v>
      </c>
      <c r="E1140" s="104">
        <f>C1140+_xlfn.FORECAST.ETS.CONFINT(A1140,$B$2:$B$950,$A$2:$A$950,0.95,12,1)</f>
        <v>150.26529449475601</v>
      </c>
    </row>
    <row r="1141" spans="1:5">
      <c r="A1141" s="103">
        <v>51471</v>
      </c>
      <c r="C1141" s="104">
        <f>_xlfn.FORECAST.ETS(A1141,$B$2:$B$950,$A$2:$A$950,12,1)</f>
        <v>92.106531824078715</v>
      </c>
      <c r="D1141" s="104">
        <f>C1141-_xlfn.FORECAST.ETS.CONFINT(A1141,$B$2:$B$950,$A$2:$A$950,0.95,12,1)</f>
        <v>33.667196642166118</v>
      </c>
      <c r="E1141" s="104">
        <f>C1141+_xlfn.FORECAST.ETS.CONFINT(A1141,$B$2:$B$950,$A$2:$A$950,0.95,12,1)</f>
        <v>150.54586700599131</v>
      </c>
    </row>
    <row r="1142" spans="1:5">
      <c r="A1142" s="103">
        <v>51502</v>
      </c>
      <c r="C1142" s="104">
        <f>_xlfn.FORECAST.ETS(A1142,$B$2:$B$950,$A$2:$A$950,12,1)</f>
        <v>92.394079389432747</v>
      </c>
      <c r="D1142" s="104">
        <f>C1142-_xlfn.FORECAST.ETS.CONFINT(A1142,$B$2:$B$950,$A$2:$A$950,0.95,12,1)</f>
        <v>33.721197872836441</v>
      </c>
      <c r="E1142" s="104">
        <f>C1142+_xlfn.FORECAST.ETS.CONFINT(A1142,$B$2:$B$950,$A$2:$A$950,0.95,12,1)</f>
        <v>151.06696090602907</v>
      </c>
    </row>
    <row r="1143" spans="1:5">
      <c r="A1143" s="103">
        <v>51533</v>
      </c>
      <c r="C1143" s="104">
        <f>_xlfn.FORECAST.ETS(A1143,$B$2:$B$950,$A$2:$A$950,12,1)</f>
        <v>92.494515822357542</v>
      </c>
      <c r="D1143" s="104">
        <f>C1143-_xlfn.FORECAST.ETS.CONFINT(A1143,$B$2:$B$950,$A$2:$A$950,0.95,12,1)</f>
        <v>33.586908198641851</v>
      </c>
      <c r="E1143" s="104">
        <f>C1143+_xlfn.FORECAST.ETS.CONFINT(A1143,$B$2:$B$950,$A$2:$A$950,0.95,12,1)</f>
        <v>151.40212344607323</v>
      </c>
    </row>
    <row r="1144" spans="1:5">
      <c r="A1144" s="103">
        <v>51561</v>
      </c>
      <c r="C1144" s="104">
        <f>_xlfn.FORECAST.ETS(A1144,$B$2:$B$950,$A$2:$A$950,12,1)</f>
        <v>92.620730631961607</v>
      </c>
      <c r="D1144" s="104">
        <f>C1144-_xlfn.FORECAST.ETS.CONFINT(A1144,$B$2:$B$950,$A$2:$A$950,0.95,12,1)</f>
        <v>33.479328497426891</v>
      </c>
      <c r="E1144" s="104">
        <f>C1144+_xlfn.FORECAST.ETS.CONFINT(A1144,$B$2:$B$950,$A$2:$A$950,0.95,12,1)</f>
        <v>151.76213276649634</v>
      </c>
    </row>
    <row r="1145" spans="1:5">
      <c r="A1145" s="103">
        <v>51592</v>
      </c>
      <c r="C1145" s="104">
        <f>_xlfn.FORECAST.ETS(A1145,$B$2:$B$950,$A$2:$A$950,12,1)</f>
        <v>92.807633483018535</v>
      </c>
      <c r="D1145" s="104">
        <f>C1145-_xlfn.FORECAST.ETS.CONFINT(A1145,$B$2:$B$950,$A$2:$A$950,0.95,12,1)</f>
        <v>33.432309334878681</v>
      </c>
      <c r="E1145" s="104">
        <f>C1145+_xlfn.FORECAST.ETS.CONFINT(A1145,$B$2:$B$950,$A$2:$A$950,0.95,12,1)</f>
        <v>152.18295763115839</v>
      </c>
    </row>
    <row r="1146" spans="1:5">
      <c r="A1146" s="103">
        <v>51622</v>
      </c>
      <c r="C1146" s="104">
        <f>_xlfn.FORECAST.ETS(A1146,$B$2:$B$950,$A$2:$A$950,12,1)</f>
        <v>92.889978635215144</v>
      </c>
      <c r="D1146" s="104">
        <f>C1146-_xlfn.FORECAST.ETS.CONFINT(A1146,$B$2:$B$950,$A$2:$A$950,0.95,12,1)</f>
        <v>33.280604123103572</v>
      </c>
      <c r="E1146" s="104">
        <f>C1146+_xlfn.FORECAST.ETS.CONFINT(A1146,$B$2:$B$950,$A$2:$A$950,0.95,12,1)</f>
        <v>152.4993531473267</v>
      </c>
    </row>
    <row r="1147" spans="1:5">
      <c r="A1147" s="103">
        <v>51653</v>
      </c>
      <c r="C1147" s="104">
        <f>_xlfn.FORECAST.ETS(A1147,$B$2:$B$950,$A$2:$A$950,12,1)</f>
        <v>92.863432994752117</v>
      </c>
      <c r="D1147" s="104">
        <f>C1147-_xlfn.FORECAST.ETS.CONFINT(A1147,$B$2:$B$950,$A$2:$A$950,0.95,12,1)</f>
        <v>33.019878934803728</v>
      </c>
      <c r="E1147" s="104">
        <f>C1147+_xlfn.FORECAST.ETS.CONFINT(A1147,$B$2:$B$950,$A$2:$A$950,0.95,12,1)</f>
        <v>152.70698705470051</v>
      </c>
    </row>
    <row r="1148" spans="1:5">
      <c r="A1148" s="103">
        <v>51683</v>
      </c>
      <c r="C1148" s="104">
        <f>_xlfn.FORECAST.ETS(A1148,$B$2:$B$950,$A$2:$A$950,12,1)</f>
        <v>92.92143005853768</v>
      </c>
      <c r="D1148" s="104">
        <f>C1148-_xlfn.FORECAST.ETS.CONFINT(A1148,$B$2:$B$950,$A$2:$A$950,0.95,12,1)</f>
        <v>32.843566447214265</v>
      </c>
      <c r="E1148" s="104">
        <f>C1148+_xlfn.FORECAST.ETS.CONFINT(A1148,$B$2:$B$950,$A$2:$A$950,0.95,12,1)</f>
        <v>152.99929366986109</v>
      </c>
    </row>
    <row r="1149" spans="1:5">
      <c r="A1149" s="103">
        <v>51714</v>
      </c>
      <c r="C1149" s="104">
        <f>_xlfn.FORECAST.ETS(A1149,$B$2:$B$950,$A$2:$A$950,12,1)</f>
        <v>93.026443581694352</v>
      </c>
      <c r="D1149" s="104">
        <f>C1149-_xlfn.FORECAST.ETS.CONFINT(A1149,$B$2:$B$950,$A$2:$A$950,0.95,12,1)</f>
        <v>32.7141396093593</v>
      </c>
      <c r="E1149" s="104">
        <f>C1149+_xlfn.FORECAST.ETS.CONFINT(A1149,$B$2:$B$950,$A$2:$A$950,0.95,12,1)</f>
        <v>153.3387475540294</v>
      </c>
    </row>
    <row r="1150" spans="1:5">
      <c r="A1150" s="103">
        <v>51745</v>
      </c>
      <c r="C1150" s="104">
        <f>_xlfn.FORECAST.ETS(A1150,$B$2:$B$950,$A$2:$A$950,12,1)</f>
        <v>93.074107687133576</v>
      </c>
      <c r="D1150" s="104">
        <f>C1150-_xlfn.FORECAST.ETS.CONFINT(A1150,$B$2:$B$950,$A$2:$A$950,0.95,12,1)</f>
        <v>32.527231751381208</v>
      </c>
      <c r="E1150" s="104">
        <f>C1150+_xlfn.FORECAST.ETS.CONFINT(A1150,$B$2:$B$950,$A$2:$A$950,0.95,12,1)</f>
        <v>153.62098362288594</v>
      </c>
    </row>
    <row r="1151" spans="1:5">
      <c r="A1151" s="103">
        <v>51775</v>
      </c>
      <c r="C1151" s="104">
        <f>_xlfn.FORECAST.ETS(A1151,$B$2:$B$950,$A$2:$A$950,12,1)</f>
        <v>93.122689870128966</v>
      </c>
      <c r="D1151" s="104">
        <f>C1151-_xlfn.FORECAST.ETS.CONFINT(A1151,$B$2:$B$950,$A$2:$A$950,0.95,12,1)</f>
        <v>32.341109588873955</v>
      </c>
      <c r="E1151" s="104">
        <f>C1151+_xlfn.FORECAST.ETS.CONFINT(A1151,$B$2:$B$950,$A$2:$A$950,0.95,12,1)</f>
        <v>153.90427015138397</v>
      </c>
    </row>
    <row r="1152" spans="1:5">
      <c r="A1152" s="103">
        <v>51806</v>
      </c>
      <c r="C1152" s="104">
        <f>_xlfn.FORECAST.ETS(A1152,$B$2:$B$950,$A$2:$A$950,12,1)</f>
        <v>93.189447304424675</v>
      </c>
      <c r="D1152" s="104">
        <f>C1152-_xlfn.FORECAST.ETS.CONFINT(A1152,$B$2:$B$950,$A$2:$A$950,0.95,12,1)</f>
        <v>32.173029528756736</v>
      </c>
      <c r="E1152" s="104">
        <f>C1152+_xlfn.FORECAST.ETS.CONFINT(A1152,$B$2:$B$950,$A$2:$A$950,0.95,12,1)</f>
        <v>154.20586508009262</v>
      </c>
    </row>
    <row r="1153" spans="1:5">
      <c r="A1153" s="103">
        <v>51836</v>
      </c>
      <c r="C1153" s="104">
        <f>_xlfn.FORECAST.ETS(A1153,$B$2:$B$950,$A$2:$A$950,12,1)</f>
        <v>93.236598322228843</v>
      </c>
      <c r="D1153" s="104">
        <f>C1153-_xlfn.FORECAST.ETS.CONFINT(A1153,$B$2:$B$950,$A$2:$A$950,0.95,12,1)</f>
        <v>31.985209149037694</v>
      </c>
      <c r="E1153" s="104">
        <f>C1153+_xlfn.FORECAST.ETS.CONFINT(A1153,$B$2:$B$950,$A$2:$A$950,0.95,12,1)</f>
        <v>154.48798749541999</v>
      </c>
    </row>
    <row r="1154" spans="1:5">
      <c r="A1154" s="103">
        <v>51867</v>
      </c>
      <c r="C1154" s="104">
        <f>_xlfn.FORECAST.ETS(A1154,$B$2:$B$950,$A$2:$A$950,12,1)</f>
        <v>93.524145887582861</v>
      </c>
      <c r="D1154" s="104">
        <f>C1154-_xlfn.FORECAST.ETS.CONFINT(A1154,$B$2:$B$950,$A$2:$A$950,0.95,12,1)</f>
        <v>32.037650671958566</v>
      </c>
      <c r="E1154" s="104">
        <f>C1154+_xlfn.FORECAST.ETS.CONFINT(A1154,$B$2:$B$950,$A$2:$A$950,0.95,12,1)</f>
        <v>155.01064110320715</v>
      </c>
    </row>
    <row r="1155" spans="1:5">
      <c r="A1155" s="103">
        <v>51898</v>
      </c>
      <c r="C1155" s="104">
        <f>_xlfn.FORECAST.ETS(A1155,$B$2:$B$950,$A$2:$A$950,12,1)</f>
        <v>93.624582320507656</v>
      </c>
      <c r="D1155" s="104">
        <f>C1155-_xlfn.FORECAST.ETS.CONFINT(A1155,$B$2:$B$950,$A$2:$A$950,0.95,12,1)</f>
        <v>31.901812504739901</v>
      </c>
      <c r="E1155" s="104">
        <f>C1155+_xlfn.FORECAST.ETS.CONFINT(A1155,$B$2:$B$950,$A$2:$A$950,0.95,12,1)</f>
        <v>155.34735213627542</v>
      </c>
    </row>
    <row r="1156" spans="1:5">
      <c r="A1156" s="103">
        <v>51926</v>
      </c>
      <c r="C1156" s="104">
        <f>_xlfn.FORECAST.ETS(A1156,$B$2:$B$950,$A$2:$A$950,12,1)</f>
        <v>93.750797130111721</v>
      </c>
      <c r="D1156" s="104">
        <f>C1156-_xlfn.FORECAST.ETS.CONFINT(A1156,$B$2:$B$950,$A$2:$A$950,0.95,12,1)</f>
        <v>31.792653730236417</v>
      </c>
      <c r="E1156" s="104">
        <f>C1156+_xlfn.FORECAST.ETS.CONFINT(A1156,$B$2:$B$950,$A$2:$A$950,0.95,12,1)</f>
        <v>155.70894052998702</v>
      </c>
    </row>
    <row r="1157" spans="1:5">
      <c r="A1157" s="103">
        <v>51957</v>
      </c>
      <c r="C1157" s="104">
        <f>_xlfn.FORECAST.ETS(A1157,$B$2:$B$950,$A$2:$A$950,12,1)</f>
        <v>93.937699981168649</v>
      </c>
      <c r="D1157" s="104">
        <f>C1157-_xlfn.FORECAST.ETS.CONFINT(A1157,$B$2:$B$950,$A$2:$A$950,0.95,12,1)</f>
        <v>31.744046171649117</v>
      </c>
      <c r="E1157" s="104">
        <f>C1157+_xlfn.FORECAST.ETS.CONFINT(A1157,$B$2:$B$950,$A$2:$A$950,0.95,12,1)</f>
        <v>156.13135379068819</v>
      </c>
    </row>
    <row r="1158" spans="1:5">
      <c r="A1158" s="103">
        <v>51987</v>
      </c>
      <c r="C1158" s="104">
        <f>_xlfn.FORECAST.ETS(A1158,$B$2:$B$950,$A$2:$A$950,12,1)</f>
        <v>94.020045133365258</v>
      </c>
      <c r="D1158" s="104">
        <f>C1158-_xlfn.FORECAST.ETS.CONFINT(A1158,$B$2:$B$950,$A$2:$A$950,0.95,12,1)</f>
        <v>31.590743394610129</v>
      </c>
      <c r="E1158" s="104">
        <f>C1158+_xlfn.FORECAST.ETS.CONFINT(A1158,$B$2:$B$950,$A$2:$A$950,0.95,12,1)</f>
        <v>156.44934687212037</v>
      </c>
    </row>
    <row r="1159" spans="1:5">
      <c r="A1159" s="103">
        <v>52018</v>
      </c>
      <c r="C1159" s="104">
        <f>_xlfn.FORECAST.ETS(A1159,$B$2:$B$950,$A$2:$A$950,12,1)</f>
        <v>93.993499492902245</v>
      </c>
      <c r="D1159" s="104">
        <f>C1159-_xlfn.FORECAST.ETS.CONFINT(A1159,$B$2:$B$950,$A$2:$A$950,0.95,12,1)</f>
        <v>31.328411622607561</v>
      </c>
      <c r="E1159" s="104">
        <f>C1159+_xlfn.FORECAST.ETS.CONFINT(A1159,$B$2:$B$950,$A$2:$A$950,0.95,12,1)</f>
        <v>156.65858736319694</v>
      </c>
    </row>
    <row r="1160" spans="1:5">
      <c r="A1160" s="103">
        <v>52048</v>
      </c>
      <c r="C1160" s="104">
        <f>_xlfn.FORECAST.ETS(A1160,$B$2:$B$950,$A$2:$A$950,12,1)</f>
        <v>94.051496556687795</v>
      </c>
      <c r="D1160" s="104">
        <f>C1160-_xlfn.FORECAST.ETS.CONFINT(A1160,$B$2:$B$950,$A$2:$A$950,0.95,12,1)</f>
        <v>31.15048368098163</v>
      </c>
      <c r="E1160" s="104">
        <f>C1160+_xlfn.FORECAST.ETS.CONFINT(A1160,$B$2:$B$950,$A$2:$A$950,0.95,12,1)</f>
        <v>156.95250943239395</v>
      </c>
    </row>
    <row r="1161" spans="1:5">
      <c r="A1161" s="103">
        <v>52079</v>
      </c>
      <c r="C1161" s="104">
        <f>_xlfn.FORECAST.ETS(A1161,$B$2:$B$950,$A$2:$A$950,12,1)</f>
        <v>94.156510079844466</v>
      </c>
      <c r="D1161" s="104">
        <f>C1161-_xlfn.FORECAST.ETS.CONFINT(A1161,$B$2:$B$950,$A$2:$A$950,0.95,12,1)</f>
        <v>31.019432664238209</v>
      </c>
      <c r="E1161" s="104">
        <f>C1161+_xlfn.FORECAST.ETS.CONFINT(A1161,$B$2:$B$950,$A$2:$A$950,0.95,12,1)</f>
        <v>157.29358749545071</v>
      </c>
    </row>
    <row r="1162" spans="1:5">
      <c r="A1162" s="103">
        <v>52110</v>
      </c>
      <c r="C1162" s="104">
        <f>_xlfn.FORECAST.ETS(A1162,$B$2:$B$950,$A$2:$A$950,12,1)</f>
        <v>94.204174185283705</v>
      </c>
      <c r="D1162" s="104">
        <f>C1162-_xlfn.FORECAST.ETS.CONFINT(A1162,$B$2:$B$950,$A$2:$A$950,0.95,12,1)</f>
        <v>30.830892045433934</v>
      </c>
      <c r="E1162" s="104">
        <f>C1162+_xlfn.FORECAST.ETS.CONFINT(A1162,$B$2:$B$950,$A$2:$A$950,0.95,12,1)</f>
        <v>157.57745632513348</v>
      </c>
    </row>
    <row r="1163" spans="1:5">
      <c r="A1163" s="103">
        <v>52140</v>
      </c>
      <c r="C1163" s="104">
        <f>_xlfn.FORECAST.ETS(A1163,$B$2:$B$950,$A$2:$A$950,12,1)</f>
        <v>94.252756368279094</v>
      </c>
      <c r="D1163" s="104">
        <f>C1163-_xlfn.FORECAST.ETS.CONFINT(A1163,$B$2:$B$950,$A$2:$A$950,0.95,12,1)</f>
        <v>30.643128680564118</v>
      </c>
      <c r="E1163" s="104">
        <f>C1163+_xlfn.FORECAST.ETS.CONFINT(A1163,$B$2:$B$950,$A$2:$A$950,0.95,12,1)</f>
        <v>157.86238405599408</v>
      </c>
    </row>
    <row r="1164" spans="1:5">
      <c r="A1164" s="103">
        <v>52171</v>
      </c>
      <c r="C1164" s="104">
        <f>_xlfn.FORECAST.ETS(A1164,$B$2:$B$950,$A$2:$A$950,12,1)</f>
        <v>94.319513802574789</v>
      </c>
      <c r="D1164" s="104">
        <f>C1164-_xlfn.FORECAST.ETS.CONFINT(A1164,$B$2:$B$950,$A$2:$A$950,0.95,12,1)</f>
        <v>30.473399114489617</v>
      </c>
      <c r="E1164" s="104">
        <f>C1164+_xlfn.FORECAST.ETS.CONFINT(A1164,$B$2:$B$950,$A$2:$A$950,0.95,12,1)</f>
        <v>158.16562849065997</v>
      </c>
    </row>
    <row r="1165" spans="1:5">
      <c r="A1165" s="103">
        <v>52201</v>
      </c>
      <c r="C1165" s="104">
        <f>_xlfn.FORECAST.ETS(A1165,$B$2:$B$950,$A$2:$A$950,12,1)</f>
        <v>94.366664820378958</v>
      </c>
      <c r="D1165" s="104">
        <f>C1165-_xlfn.FORECAST.ETS.CONFINT(A1165,$B$2:$B$950,$A$2:$A$950,0.95,12,1)</f>
        <v>30.283921060752348</v>
      </c>
      <c r="E1165" s="104">
        <f>C1165+_xlfn.FORECAST.ETS.CONFINT(A1165,$B$2:$B$950,$A$2:$A$950,0.95,12,1)</f>
        <v>158.44940858000558</v>
      </c>
    </row>
    <row r="1166" spans="1:5">
      <c r="A1166" s="103">
        <v>52232</v>
      </c>
      <c r="C1166" s="104">
        <f>_xlfn.FORECAST.ETS(A1166,$B$2:$B$950,$A$2:$A$950,12,1)</f>
        <v>94.654212385732976</v>
      </c>
      <c r="D1166" s="104">
        <f>C1166-_xlfn.FORECAST.ETS.CONFINT(A1166,$B$2:$B$950,$A$2:$A$950,0.95,12,1)</f>
        <v>30.334696874770415</v>
      </c>
      <c r="E1166" s="104">
        <f>C1166+_xlfn.FORECAST.ETS.CONFINT(A1166,$B$2:$B$950,$A$2:$A$950,0.95,12,1)</f>
        <v>158.97372789669555</v>
      </c>
    </row>
    <row r="1167" spans="1:5">
      <c r="A1167" s="103">
        <v>52263</v>
      </c>
      <c r="C1167" s="104">
        <f>_xlfn.FORECAST.ETS(A1167,$B$2:$B$950,$A$2:$A$950,12,1)</f>
        <v>94.75464881865777</v>
      </c>
      <c r="D1167" s="104">
        <f>C1167-_xlfn.FORECAST.ETS.CONFINT(A1167,$B$2:$B$950,$A$2:$A$950,0.95,12,1)</f>
        <v>30.197204437831729</v>
      </c>
      <c r="E1167" s="104">
        <f>C1167+_xlfn.FORECAST.ETS.CONFINT(A1167,$B$2:$B$950,$A$2:$A$950,0.95,12,1)</f>
        <v>159.3120931994838</v>
      </c>
    </row>
    <row r="1168" spans="1:5">
      <c r="A1168" s="103">
        <v>52291</v>
      </c>
      <c r="C1168" s="104">
        <f>_xlfn.FORECAST.ETS(A1168,$B$2:$B$950,$A$2:$A$950,12,1)</f>
        <v>94.880863628261835</v>
      </c>
      <c r="D1168" s="104">
        <f>C1168-_xlfn.FORECAST.ETS.CONFINT(A1168,$B$2:$B$950,$A$2:$A$950,0.95,12,1)</f>
        <v>30.086364059224778</v>
      </c>
      <c r="E1168" s="104">
        <f>C1168+_xlfn.FORECAST.ETS.CONFINT(A1168,$B$2:$B$950,$A$2:$A$950,0.95,12,1)</f>
        <v>159.67536319729891</v>
      </c>
    </row>
    <row r="1169" spans="1:5">
      <c r="A1169" s="103">
        <v>52322</v>
      </c>
      <c r="C1169" s="104">
        <f>_xlfn.FORECAST.ETS(A1169,$B$2:$B$950,$A$2:$A$950,12,1)</f>
        <v>95.067766479318777</v>
      </c>
      <c r="D1169" s="104">
        <f>C1169-_xlfn.FORECAST.ETS.CONFINT(A1169,$B$2:$B$950,$A$2:$A$950,0.95,12,1)</f>
        <v>30.036067250167562</v>
      </c>
      <c r="E1169" s="104">
        <f>C1169+_xlfn.FORECAST.ETS.CONFINT(A1169,$B$2:$B$950,$A$2:$A$950,0.95,12,1)</f>
        <v>160.09946570847001</v>
      </c>
    </row>
    <row r="1170" spans="1:5">
      <c r="A1170" s="103">
        <v>52352</v>
      </c>
      <c r="C1170" s="104">
        <f>_xlfn.FORECAST.ETS(A1170,$B$2:$B$950,$A$2:$A$950,12,1)</f>
        <v>95.150111631515387</v>
      </c>
      <c r="D1170" s="104">
        <f>C1170-_xlfn.FORECAST.ETS.CONFINT(A1170,$B$2:$B$950,$A$2:$A$950,0.95,12,1)</f>
        <v>29.8810677004779</v>
      </c>
      <c r="E1170" s="104">
        <f>C1170+_xlfn.FORECAST.ETS.CONFINT(A1170,$B$2:$B$950,$A$2:$A$950,0.95,12,1)</f>
        <v>160.41915556255287</v>
      </c>
    </row>
    <row r="1171" spans="1:5">
      <c r="A1171" s="103">
        <v>52383</v>
      </c>
      <c r="C1171" s="104">
        <f>_xlfn.FORECAST.ETS(A1171,$B$2:$B$950,$A$2:$A$950,12,1)</f>
        <v>95.123565991052359</v>
      </c>
      <c r="D1171" s="104">
        <f>C1171-_xlfn.FORECAST.ETS.CONFINT(A1171,$B$2:$B$950,$A$2:$A$950,0.95,12,1)</f>
        <v>29.617031755707387</v>
      </c>
      <c r="E1171" s="104">
        <f>C1171+_xlfn.FORECAST.ETS.CONFINT(A1171,$B$2:$B$950,$A$2:$A$950,0.95,12,1)</f>
        <v>160.63010022639733</v>
      </c>
    </row>
    <row r="1172" spans="1:5">
      <c r="A1172" s="103">
        <v>52413</v>
      </c>
      <c r="C1172" s="104">
        <f>_xlfn.FORECAST.ETS(A1172,$B$2:$B$950,$A$2:$A$950,12,1)</f>
        <v>95.181563054837909</v>
      </c>
      <c r="D1172" s="104">
        <f>C1172-_xlfn.FORECAST.ETS.CONFINT(A1172,$B$2:$B$950,$A$2:$A$950,0.95,12,1)</f>
        <v>29.437392361181139</v>
      </c>
      <c r="E1172" s="104">
        <f>C1172+_xlfn.FORECAST.ETS.CONFINT(A1172,$B$2:$B$950,$A$2:$A$950,0.95,12,1)</f>
        <v>160.92573374849468</v>
      </c>
    </row>
    <row r="1173" spans="1:5">
      <c r="A1173" s="103">
        <v>52444</v>
      </c>
      <c r="C1173" s="104">
        <f>_xlfn.FORECAST.ETS(A1173,$B$2:$B$950,$A$2:$A$950,12,1)</f>
        <v>95.286576577994595</v>
      </c>
      <c r="D1173" s="104">
        <f>C1173-_xlfn.FORECAST.ETS.CONFINT(A1173,$B$2:$B$950,$A$2:$A$950,0.95,12,1)</f>
        <v>29.30462272935354</v>
      </c>
      <c r="E1173" s="104">
        <f>C1173+_xlfn.FORECAST.ETS.CONFINT(A1173,$B$2:$B$950,$A$2:$A$950,0.95,12,1)</f>
        <v>161.26853042663566</v>
      </c>
    </row>
    <row r="1174" spans="1:5">
      <c r="A1174" s="103">
        <v>52475</v>
      </c>
      <c r="C1174" s="104">
        <f>_xlfn.FORECAST.ETS(A1174,$B$2:$B$950,$A$2:$A$950,12,1)</f>
        <v>95.334240683433819</v>
      </c>
      <c r="D1174" s="104">
        <f>C1174-_xlfn.FORECAST.ETS.CONFINT(A1174,$B$2:$B$950,$A$2:$A$950,0.95,12,1)</f>
        <v>29.114356449234862</v>
      </c>
      <c r="E1174" s="104">
        <f>C1174+_xlfn.FORECAST.ETS.CONFINT(A1174,$B$2:$B$950,$A$2:$A$950,0.95,12,1)</f>
        <v>161.55412491763278</v>
      </c>
    </row>
    <row r="1175" spans="1:5">
      <c r="A1175" s="103">
        <v>52505</v>
      </c>
      <c r="C1175" s="104">
        <f>_xlfn.FORECAST.ETS(A1175,$B$2:$B$950,$A$2:$A$950,12,1)</f>
        <v>95.382822866429208</v>
      </c>
      <c r="D1175" s="104">
        <f>C1175-_xlfn.FORECAST.ETS.CONFINT(A1175,$B$2:$B$950,$A$2:$A$950,0.95,12,1)</f>
        <v>28.924860490819555</v>
      </c>
      <c r="E1175" s="104">
        <f>C1175+_xlfn.FORECAST.ETS.CONFINT(A1175,$B$2:$B$950,$A$2:$A$950,0.95,12,1)</f>
        <v>161.84078524203886</v>
      </c>
    </row>
    <row r="1176" spans="1:5">
      <c r="A1176" s="103">
        <v>52536</v>
      </c>
      <c r="C1176" s="104">
        <f>_xlfn.FORECAST.ETS(A1176,$B$2:$B$950,$A$2:$A$950,12,1)</f>
        <v>95.449580300724904</v>
      </c>
      <c r="D1176" s="104">
        <f>C1176-_xlfn.FORECAST.ETS.CONFINT(A1176,$B$2:$B$950,$A$2:$A$950,0.95,12,1)</f>
        <v>28.753391511052385</v>
      </c>
      <c r="E1176" s="104">
        <f>C1176+_xlfn.FORECAST.ETS.CONFINT(A1176,$B$2:$B$950,$A$2:$A$950,0.95,12,1)</f>
        <v>162.14576909039744</v>
      </c>
    </row>
    <row r="1177" spans="1:5">
      <c r="A1177" s="103">
        <v>52566</v>
      </c>
      <c r="C1177" s="104">
        <f>_xlfn.FORECAST.ETS(A1177,$B$2:$B$950,$A$2:$A$950,12,1)</f>
        <v>95.496731318529072</v>
      </c>
      <c r="D1177" s="104">
        <f>C1177-_xlfn.FORECAST.ETS.CONFINT(A1177,$B$2:$B$950,$A$2:$A$950,0.95,12,1)</f>
        <v>28.562167333682567</v>
      </c>
      <c r="E1177" s="104">
        <f>C1177+_xlfn.FORECAST.ETS.CONFINT(A1177,$B$2:$B$950,$A$2:$A$950,0.95,12,1)</f>
        <v>162.43129530337558</v>
      </c>
    </row>
    <row r="1178" spans="1:5">
      <c r="A1178" s="103">
        <v>52597</v>
      </c>
      <c r="C1178" s="104">
        <f>_xlfn.FORECAST.ETS(A1178,$B$2:$B$950,$A$2:$A$950,12,1)</f>
        <v>95.78427888388309</v>
      </c>
      <c r="D1178" s="104">
        <f>C1178-_xlfn.FORECAST.ETS.CONFINT(A1178,$B$2:$B$950,$A$2:$A$950,0.95,12,1)</f>
        <v>28.611190422496279</v>
      </c>
      <c r="E1178" s="104">
        <f>C1178+_xlfn.FORECAST.ETS.CONFINT(A1178,$B$2:$B$950,$A$2:$A$950,0.95,12,1)</f>
        <v>162.95736734526992</v>
      </c>
    </row>
    <row r="1179" spans="1:5">
      <c r="A1179" s="103">
        <v>52628</v>
      </c>
      <c r="C1179" s="104">
        <f>_xlfn.FORECAST.ETS(A1179,$B$2:$B$950,$A$2:$A$950,12,1)</f>
        <v>95.884715316807899</v>
      </c>
      <c r="D1179" s="104">
        <f>C1179-_xlfn.FORECAST.ETS.CONFINT(A1179,$B$2:$B$950,$A$2:$A$950,0.95,12,1)</f>
        <v>28.471956786258957</v>
      </c>
      <c r="E1179" s="104">
        <f>C1179+_xlfn.FORECAST.ETS.CONFINT(A1179,$B$2:$B$950,$A$2:$A$950,0.95,12,1)</f>
        <v>163.29747384735686</v>
      </c>
    </row>
    <row r="1180" spans="1:5">
      <c r="A1180" s="103">
        <v>52657</v>
      </c>
      <c r="C1180" s="104">
        <f>_xlfn.FORECAST.ETS(A1180,$B$2:$B$950,$A$2:$A$950,12,1)</f>
        <v>96.010930126411964</v>
      </c>
      <c r="D1180" s="104">
        <f>C1180-_xlfn.FORECAST.ETS.CONFINT(A1180,$B$2:$B$950,$A$2:$A$950,0.95,12,1)</f>
        <v>28.35935060342598</v>
      </c>
      <c r="E1180" s="104">
        <f>C1180+_xlfn.FORECAST.ETS.CONFINT(A1180,$B$2:$B$950,$A$2:$A$950,0.95,12,1)</f>
        <v>163.66250964939795</v>
      </c>
    </row>
    <row r="1181" spans="1:5">
      <c r="A1181" s="103">
        <v>52688</v>
      </c>
      <c r="C1181" s="104">
        <f>_xlfn.FORECAST.ETS(A1181,$B$2:$B$950,$A$2:$A$950,12,1)</f>
        <v>96.197832977468892</v>
      </c>
      <c r="D1181" s="104">
        <f>C1181-_xlfn.FORECAST.ETS.CONFINT(A1181,$B$2:$B$950,$A$2:$A$950,0.95,12,1)</f>
        <v>28.307281705271976</v>
      </c>
      <c r="E1181" s="104">
        <f>C1181+_xlfn.FORECAST.ETS.CONFINT(A1181,$B$2:$B$950,$A$2:$A$950,0.95,12,1)</f>
        <v>164.08838424966581</v>
      </c>
    </row>
    <row r="1182" spans="1:5">
      <c r="A1182" s="103">
        <v>52718</v>
      </c>
      <c r="C1182" s="104">
        <f>_xlfn.FORECAST.ETS(A1182,$B$2:$B$950,$A$2:$A$950,12,1)</f>
        <v>96.280178129665501</v>
      </c>
      <c r="D1182" s="104">
        <f>C1182-_xlfn.FORECAST.ETS.CONFINT(A1182,$B$2:$B$950,$A$2:$A$950,0.95,12,1)</f>
        <v>28.150503882950289</v>
      </c>
      <c r="E1182" s="104">
        <f>C1182+_xlfn.FORECAST.ETS.CONFINT(A1182,$B$2:$B$950,$A$2:$A$950,0.95,12,1)</f>
        <v>164.40985237638071</v>
      </c>
    </row>
    <row r="1183" spans="1:5">
      <c r="A1183" s="103">
        <v>52749</v>
      </c>
      <c r="C1183" s="104">
        <f>_xlfn.FORECAST.ETS(A1183,$B$2:$B$950,$A$2:$A$950,12,1)</f>
        <v>96.253632489202488</v>
      </c>
      <c r="D1183" s="104">
        <f>C1183-_xlfn.FORECAST.ETS.CONFINT(A1183,$B$2:$B$950,$A$2:$A$950,0.95,12,1)</f>
        <v>27.884683581684357</v>
      </c>
      <c r="E1183" s="104">
        <f>C1183+_xlfn.FORECAST.ETS.CONFINT(A1183,$B$2:$B$950,$A$2:$A$950,0.95,12,1)</f>
        <v>164.62258139672062</v>
      </c>
    </row>
    <row r="1184" spans="1:5">
      <c r="A1184" s="103">
        <v>52779</v>
      </c>
      <c r="C1184" s="104">
        <f>_xlfn.FORECAST.ETS(A1184,$B$2:$B$950,$A$2:$A$950,12,1)</f>
        <v>96.311629552988038</v>
      </c>
      <c r="D1184" s="104">
        <f>C1184-_xlfn.FORECAST.ETS.CONFINT(A1184,$B$2:$B$950,$A$2:$A$950,0.95,12,1)</f>
        <v>27.703253844839921</v>
      </c>
      <c r="E1184" s="104">
        <f>C1184+_xlfn.FORECAST.ETS.CONFINT(A1184,$B$2:$B$950,$A$2:$A$950,0.95,12,1)</f>
        <v>164.92000526113617</v>
      </c>
    </row>
    <row r="1185" spans="1:5">
      <c r="A1185" s="103">
        <v>52810</v>
      </c>
      <c r="C1185" s="104">
        <f>_xlfn.FORECAST.ETS(A1185,$B$2:$B$950,$A$2:$A$950,12,1)</f>
        <v>96.416643076144709</v>
      </c>
      <c r="D1185" s="104">
        <f>C1185-_xlfn.FORECAST.ETS.CONFINT(A1185,$B$2:$B$950,$A$2:$A$950,0.95,12,1)</f>
        <v>27.568687981312664</v>
      </c>
      <c r="E1185" s="104">
        <f>C1185+_xlfn.FORECAST.ETS.CONFINT(A1185,$B$2:$B$950,$A$2:$A$950,0.95,12,1)</f>
        <v>165.26459817097674</v>
      </c>
    </row>
    <row r="1186" spans="1:5">
      <c r="A1186" s="103">
        <v>52841</v>
      </c>
      <c r="C1186" s="104">
        <f>_xlfn.FORECAST.ETS(A1186,$B$2:$B$950,$A$2:$A$950,12,1)</f>
        <v>96.464307181583933</v>
      </c>
      <c r="D1186" s="104">
        <f>C1186-_xlfn.FORECAST.ETS.CONFINT(A1186,$B$2:$B$950,$A$2:$A$950,0.95,12,1)</f>
        <v>27.376619674985747</v>
      </c>
      <c r="E1186" s="104">
        <f>C1186+_xlfn.FORECAST.ETS.CONFINT(A1186,$B$2:$B$950,$A$2:$A$950,0.95,12,1)</f>
        <v>165.55199468818211</v>
      </c>
    </row>
    <row r="1187" spans="1:5">
      <c r="A1187" s="103">
        <v>52871</v>
      </c>
      <c r="C1187" s="104">
        <f>_xlfn.FORECAST.ETS(A1187,$B$2:$B$950,$A$2:$A$950,12,1)</f>
        <v>96.512889364579323</v>
      </c>
      <c r="D1187" s="104">
        <f>C1187-_xlfn.FORECAST.ETS.CONFINT(A1187,$B$2:$B$950,$A$2:$A$950,0.95,12,1)</f>
        <v>27.18531598918851</v>
      </c>
      <c r="E1187" s="104">
        <f>C1187+_xlfn.FORECAST.ETS.CONFINT(A1187,$B$2:$B$950,$A$2:$A$950,0.95,12,1)</f>
        <v>165.84046273997012</v>
      </c>
    </row>
    <row r="1188" spans="1:5">
      <c r="A1188" s="103">
        <v>52902</v>
      </c>
      <c r="C1188" s="104">
        <f>_xlfn.FORECAST.ETS(A1188,$B$2:$B$950,$A$2:$A$950,12,1)</f>
        <v>96.579646798875018</v>
      </c>
      <c r="D1188" s="104">
        <f>C1188-_xlfn.FORECAST.ETS.CONFINT(A1188,$B$2:$B$950,$A$2:$A$950,0.95,12,1)</f>
        <v>27.01203367269224</v>
      </c>
      <c r="E1188" s="104">
        <f>C1188+_xlfn.FORECAST.ETS.CONFINT(A1188,$B$2:$B$950,$A$2:$A$950,0.95,12,1)</f>
        <v>166.1472599250578</v>
      </c>
    </row>
    <row r="1189" spans="1:5">
      <c r="A1189" s="103">
        <v>52932</v>
      </c>
      <c r="C1189" s="104">
        <f>_xlfn.FORECAST.ETS(A1189,$B$2:$B$950,$A$2:$A$950,12,1)</f>
        <v>96.626797816679201</v>
      </c>
      <c r="D1189" s="104">
        <f>C1189-_xlfn.FORECAST.ETS.CONFINT(A1189,$B$2:$B$950,$A$2:$A$950,0.95,12,1)</f>
        <v>26.818990639593196</v>
      </c>
      <c r="E1189" s="104">
        <f>C1189+_xlfn.FORECAST.ETS.CONFINT(A1189,$B$2:$B$950,$A$2:$A$950,0.95,12,1)</f>
        <v>166.43460499376522</v>
      </c>
    </row>
    <row r="1190" spans="1:5">
      <c r="A1190" s="103">
        <v>52963</v>
      </c>
      <c r="C1190" s="104">
        <f>_xlfn.FORECAST.ETS(A1190,$B$2:$B$950,$A$2:$A$950,12,1)</f>
        <v>96.914345382033218</v>
      </c>
      <c r="D1190" s="104">
        <f>C1190-_xlfn.FORECAST.ETS.CONFINT(A1190,$B$2:$B$950,$A$2:$A$950,0.95,12,1)</f>
        <v>26.866189442573472</v>
      </c>
      <c r="E1190" s="104">
        <f>C1190+_xlfn.FORECAST.ETS.CONFINT(A1190,$B$2:$B$950,$A$2:$A$950,0.95,12,1)</f>
        <v>166.96250132149297</v>
      </c>
    </row>
    <row r="1191" spans="1:5">
      <c r="A1191" s="103">
        <v>52994</v>
      </c>
      <c r="C1191" s="104">
        <f>_xlfn.FORECAST.ETS(A1191,$B$2:$B$950,$A$2:$A$950,12,1)</f>
        <v>97.014781814958013</v>
      </c>
      <c r="D1191" s="104">
        <f>C1191-_xlfn.FORECAST.ETS.CONFINT(A1191,$B$2:$B$950,$A$2:$A$950,0.95,12,1)</f>
        <v>26.7251430346723</v>
      </c>
      <c r="E1191" s="104">
        <f>C1191+_xlfn.FORECAST.ETS.CONFINT(A1191,$B$2:$B$950,$A$2:$A$950,0.95,12,1)</f>
        <v>167.30442059524373</v>
      </c>
    </row>
    <row r="1192" spans="1:5">
      <c r="A1192" s="103">
        <v>53022</v>
      </c>
      <c r="C1192" s="104">
        <f>_xlfn.FORECAST.ETS(A1192,$B$2:$B$950,$A$2:$A$950,12,1)</f>
        <v>97.140996624562078</v>
      </c>
      <c r="D1192" s="104">
        <f>C1192-_xlfn.FORECAST.ETS.CONFINT(A1192,$B$2:$B$950,$A$2:$A$950,0.95,12,1)</f>
        <v>26.610701791722903</v>
      </c>
      <c r="E1192" s="104">
        <f>C1192+_xlfn.FORECAST.ETS.CONFINT(A1192,$B$2:$B$950,$A$2:$A$950,0.95,12,1)</f>
        <v>167.67129145740125</v>
      </c>
    </row>
    <row r="1193" spans="1:5">
      <c r="A1193" s="103">
        <v>53053</v>
      </c>
      <c r="C1193" s="104">
        <f>_xlfn.FORECAST.ETS(A1193,$B$2:$B$950,$A$2:$A$950,12,1)</f>
        <v>97.32789947561902</v>
      </c>
      <c r="D1193" s="104">
        <f>C1193-_xlfn.FORECAST.ETS.CONFINT(A1193,$B$2:$B$950,$A$2:$A$950,0.95,12,1)</f>
        <v>26.556792663564352</v>
      </c>
      <c r="E1193" s="104">
        <f>C1193+_xlfn.FORECAST.ETS.CONFINT(A1193,$B$2:$B$950,$A$2:$A$950,0.95,12,1)</f>
        <v>168.09900628767369</v>
      </c>
    </row>
    <row r="1194" spans="1:5">
      <c r="A1194" s="103">
        <v>53083</v>
      </c>
      <c r="C1194" s="104">
        <f>_xlfn.FORECAST.ETS(A1194,$B$2:$B$950,$A$2:$A$950,12,1)</f>
        <v>97.410244627815629</v>
      </c>
      <c r="D1194" s="104">
        <f>C1194-_xlfn.FORECAST.ETS.CONFINT(A1194,$B$2:$B$950,$A$2:$A$950,0.95,12,1)</f>
        <v>26.398169524683539</v>
      </c>
      <c r="E1194" s="104">
        <f>C1194+_xlfn.FORECAST.ETS.CONFINT(A1194,$B$2:$B$950,$A$2:$A$950,0.95,12,1)</f>
        <v>168.42231973094772</v>
      </c>
    </row>
    <row r="1195" spans="1:5">
      <c r="A1195" s="103">
        <v>53114</v>
      </c>
      <c r="C1195" s="104">
        <f>_xlfn.FORECAST.ETS(A1195,$B$2:$B$950,$A$2:$A$950,12,1)</f>
        <v>97.383698987352602</v>
      </c>
      <c r="D1195" s="104">
        <f>C1195-_xlfn.FORECAST.ETS.CONFINT(A1195,$B$2:$B$950,$A$2:$A$950,0.95,12,1)</f>
        <v>26.130498902319161</v>
      </c>
      <c r="E1195" s="104">
        <f>C1195+_xlfn.FORECAST.ETS.CONFINT(A1195,$B$2:$B$950,$A$2:$A$950,0.95,12,1)</f>
        <v>168.63689907238603</v>
      </c>
    </row>
    <row r="1196" spans="1:5">
      <c r="A1196" s="103">
        <v>53144</v>
      </c>
      <c r="C1196" s="104">
        <f>_xlfn.FORECAST.ETS(A1196,$B$2:$B$950,$A$2:$A$950,12,1)</f>
        <v>97.441696051138152</v>
      </c>
      <c r="D1196" s="104">
        <f>C1196-_xlfn.FORECAST.ETS.CONFINT(A1196,$B$2:$B$950,$A$2:$A$950,0.95,12,1)</f>
        <v>25.947213920558369</v>
      </c>
      <c r="E1196" s="104">
        <f>C1196+_xlfn.FORECAST.ETS.CONFINT(A1196,$B$2:$B$950,$A$2:$A$950,0.95,12,1)</f>
        <v>168.93617818171793</v>
      </c>
    </row>
    <row r="1197" spans="1:5">
      <c r="A1197" s="103">
        <v>53175</v>
      </c>
      <c r="C1197" s="104">
        <f>_xlfn.FORECAST.ETS(A1197,$B$2:$B$950,$A$2:$A$950,12,1)</f>
        <v>97.546709574294823</v>
      </c>
      <c r="D1197" s="104">
        <f>C1197-_xlfn.FORECAST.ETS.CONFINT(A1197,$B$2:$B$950,$A$2:$A$950,0.95,12,1)</f>
        <v>25.810787967748567</v>
      </c>
      <c r="E1197" s="104">
        <f>C1197+_xlfn.FORECAST.ETS.CONFINT(A1197,$B$2:$B$950,$A$2:$A$950,0.95,12,1)</f>
        <v>169.28263118084107</v>
      </c>
    </row>
    <row r="1198" spans="1:5">
      <c r="A1198" s="103">
        <v>53206</v>
      </c>
      <c r="C1198" s="104">
        <f>_xlfn.FORECAST.ETS(A1198,$B$2:$B$950,$A$2:$A$950,12,1)</f>
        <v>97.594373679734048</v>
      </c>
      <c r="D1198" s="104">
        <f>C1198-_xlfn.FORECAST.ETS.CONFINT(A1198,$B$2:$B$950,$A$2:$A$950,0.95,12,1)</f>
        <v>25.616854805978647</v>
      </c>
      <c r="E1198" s="104">
        <f>C1198+_xlfn.FORECAST.ETS.CONFINT(A1198,$B$2:$B$950,$A$2:$A$950,0.95,12,1)</f>
        <v>169.57189255348945</v>
      </c>
    </row>
    <row r="1199" spans="1:5">
      <c r="A1199" s="103">
        <v>53236</v>
      </c>
      <c r="C1199" s="104">
        <f>_xlfn.FORECAST.ETS(A1199,$B$2:$B$950,$A$2:$A$950,12,1)</f>
        <v>97.642955862729451</v>
      </c>
      <c r="D1199" s="104">
        <f>C1199-_xlfn.FORECAST.ETS.CONFINT(A1199,$B$2:$B$950,$A$2:$A$950,0.95,12,1)</f>
        <v>25.423681575560693</v>
      </c>
      <c r="E1199" s="104">
        <f>C1199+_xlfn.FORECAST.ETS.CONFINT(A1199,$B$2:$B$950,$A$2:$A$950,0.95,12,1)</f>
        <v>169.86223014989821</v>
      </c>
    </row>
    <row r="1200" spans="1:5">
      <c r="A1200" s="103">
        <v>53267</v>
      </c>
      <c r="C1200" s="104">
        <f>_xlfn.FORECAST.ETS(A1200,$B$2:$B$950,$A$2:$A$950,12,1)</f>
        <v>97.709713297025147</v>
      </c>
      <c r="D1200" s="104">
        <f>C1200-_xlfn.FORECAST.ETS.CONFINT(A1200,$B$2:$B$950,$A$2:$A$950,0.95,12,1)</f>
        <v>25.248525101048273</v>
      </c>
      <c r="E1200" s="104">
        <f>C1200+_xlfn.FORECAST.ETS.CONFINT(A1200,$B$2:$B$950,$A$2:$A$950,0.95,12,1)</f>
        <v>170.17090149300202</v>
      </c>
    </row>
    <row r="1201" spans="1:5">
      <c r="A1201" s="103">
        <v>53297</v>
      </c>
      <c r="C1201" s="104">
        <f>_xlfn.FORECAST.ETS(A1201,$B$2:$B$950,$A$2:$A$950,12,1)</f>
        <v>97.756864314829315</v>
      </c>
      <c r="D1201" s="104">
        <f>C1201-_xlfn.FORECAST.ETS.CONFINT(A1201,$B$2:$B$950,$A$2:$A$950,0.95,12,1)</f>
        <v>25.053603371141662</v>
      </c>
      <c r="E1201" s="104">
        <f>C1201+_xlfn.FORECAST.ETS.CONFINT(A1201,$B$2:$B$950,$A$2:$A$950,0.95,12,1)</f>
        <v>170.46012525851697</v>
      </c>
    </row>
    <row r="1202" spans="1:5">
      <c r="A1202" s="103">
        <v>53328</v>
      </c>
      <c r="C1202" s="104">
        <f>_xlfn.FORECAST.ETS(A1202,$B$2:$B$950,$A$2:$A$950,12,1)</f>
        <v>98.044411880183333</v>
      </c>
      <c r="D1202" s="104">
        <f>C1202-_xlfn.FORECAST.ETS.CONFINT(A1202,$B$2:$B$950,$A$2:$A$950,0.95,12,1)</f>
        <v>25.098919011970281</v>
      </c>
      <c r="E1202" s="104">
        <f>C1202+_xlfn.FORECAST.ETS.CONFINT(A1202,$B$2:$B$950,$A$2:$A$950,0.95,12,1)</f>
        <v>170.98990474839638</v>
      </c>
    </row>
    <row r="1203" spans="1:5">
      <c r="A1203" s="103">
        <v>53359</v>
      </c>
      <c r="C1203" s="104">
        <f>_xlfn.FORECAST.ETS(A1203,$B$2:$B$950,$A$2:$A$950,12,1)</f>
        <v>98.144848313108142</v>
      </c>
      <c r="D1203" s="104">
        <f>C1203-_xlfn.FORECAST.ETS.CONFINT(A1203,$B$2:$B$950,$A$2:$A$950,0.95,12,1)</f>
        <v>24.956000873985673</v>
      </c>
      <c r="E1203" s="104">
        <f>C1203+_xlfn.FORECAST.ETS.CONFINT(A1203,$B$2:$B$950,$A$2:$A$950,0.95,12,1)</f>
        <v>171.3336957522306</v>
      </c>
    </row>
    <row r="1204" spans="1:5">
      <c r="A1204" s="103">
        <v>53387</v>
      </c>
      <c r="C1204" s="104">
        <f>_xlfn.FORECAST.ETS(A1204,$B$2:$B$950,$A$2:$A$950,12,1)</f>
        <v>98.271063122712206</v>
      </c>
      <c r="D1204" s="104">
        <f>C1204-_xlfn.FORECAST.ETS.CONFINT(A1204,$B$2:$B$950,$A$2:$A$950,0.95,12,1)</f>
        <v>24.839667594996897</v>
      </c>
      <c r="E1204" s="104">
        <f>C1204+_xlfn.FORECAST.ETS.CONFINT(A1204,$B$2:$B$950,$A$2:$A$950,0.95,12,1)</f>
        <v>171.7024586504275</v>
      </c>
    </row>
    <row r="1205" spans="1:5">
      <c r="A1205" s="103">
        <v>53418</v>
      </c>
      <c r="C1205" s="104">
        <f>_xlfn.FORECAST.ETS(A1205,$B$2:$B$950,$A$2:$A$950,12,1)</f>
        <v>98.457965973769134</v>
      </c>
      <c r="D1205" s="104">
        <f>C1205-_xlfn.FORECAST.ETS.CONFINT(A1205,$B$2:$B$950,$A$2:$A$950,0.95,12,1)</f>
        <v>24.783862180774136</v>
      </c>
      <c r="E1205" s="104">
        <f>C1205+_xlfn.FORECAST.ETS.CONFINT(A1205,$B$2:$B$950,$A$2:$A$950,0.95,12,1)</f>
        <v>172.13206976676412</v>
      </c>
    </row>
    <row r="1206" spans="1:5">
      <c r="A1206" s="103">
        <v>53448</v>
      </c>
      <c r="C1206" s="104">
        <f>_xlfn.FORECAST.ETS(A1206,$B$2:$B$950,$A$2:$A$950,12,1)</f>
        <v>98.540311125965744</v>
      </c>
      <c r="D1206" s="104">
        <f>C1206-_xlfn.FORECAST.ETS.CONFINT(A1206,$B$2:$B$950,$A$2:$A$950,0.95,12,1)</f>
        <v>24.623338574808201</v>
      </c>
      <c r="E1206" s="104">
        <f>C1206+_xlfn.FORECAST.ETS.CONFINT(A1206,$B$2:$B$950,$A$2:$A$950,0.95,12,1)</f>
        <v>172.45728367712329</v>
      </c>
    </row>
    <row r="1207" spans="1:5">
      <c r="A1207" s="103">
        <v>53479</v>
      </c>
      <c r="C1207" s="104">
        <f>_xlfn.FORECAST.ETS(A1207,$B$2:$B$950,$A$2:$A$950,12,1)</f>
        <v>98.513765485502717</v>
      </c>
      <c r="D1207" s="104">
        <f>C1207-_xlfn.FORECAST.ETS.CONFINT(A1207,$B$2:$B$950,$A$2:$A$950,0.95,12,1)</f>
        <v>24.353763372286522</v>
      </c>
      <c r="E1207" s="104">
        <f>C1207+_xlfn.FORECAST.ETS.CONFINT(A1207,$B$2:$B$950,$A$2:$A$950,0.95,12,1)</f>
        <v>172.67376759871891</v>
      </c>
    </row>
    <row r="1208" spans="1:5">
      <c r="A1208" s="103">
        <v>53509</v>
      </c>
      <c r="C1208" s="104">
        <f>_xlfn.FORECAST.ETS(A1208,$B$2:$B$950,$A$2:$A$950,12,1)</f>
        <v>98.571762549288266</v>
      </c>
      <c r="D1208" s="104">
        <f>C1208-_xlfn.FORECAST.ETS.CONFINT(A1208,$B$2:$B$950,$A$2:$A$950,0.95,12,1)</f>
        <v>24.168569764208939</v>
      </c>
      <c r="E1208" s="104">
        <f>C1208+_xlfn.FORECAST.ETS.CONFINT(A1208,$B$2:$B$950,$A$2:$A$950,0.95,12,1)</f>
        <v>172.97495533436759</v>
      </c>
    </row>
    <row r="1209" spans="1:5">
      <c r="A1209" s="103">
        <v>53540</v>
      </c>
      <c r="C1209" s="104">
        <f>_xlfn.FORECAST.ETS(A1209,$B$2:$B$950,$A$2:$A$950,12,1)</f>
        <v>98.676776072444937</v>
      </c>
      <c r="D1209" s="104">
        <f>C1209-_xlfn.FORECAST.ETS.CONFINT(A1209,$B$2:$B$950,$A$2:$A$950,0.95,12,1)</f>
        <v>24.030231204817838</v>
      </c>
      <c r="E1209" s="104">
        <f>C1209+_xlfn.FORECAST.ETS.CONFINT(A1209,$B$2:$B$950,$A$2:$A$950,0.95,12,1)</f>
        <v>173.32332094007205</v>
      </c>
    </row>
    <row r="1210" spans="1:5">
      <c r="A1210" s="103">
        <v>53571</v>
      </c>
      <c r="C1210" s="104">
        <f>_xlfn.FORECAST.ETS(A1210,$B$2:$B$950,$A$2:$A$950,12,1)</f>
        <v>98.724440177884176</v>
      </c>
      <c r="D1210" s="104">
        <f>C1210-_xlfn.FORECAST.ETS.CONFINT(A1210,$B$2:$B$950,$A$2:$A$950,0.95,12,1)</f>
        <v>23.834381521097725</v>
      </c>
      <c r="E1210" s="104">
        <f>C1210+_xlfn.FORECAST.ETS.CONFINT(A1210,$B$2:$B$950,$A$2:$A$950,0.95,12,1)</f>
        <v>173.61449883467063</v>
      </c>
    </row>
    <row r="1211" spans="1:5">
      <c r="A1211" s="103">
        <v>53601</v>
      </c>
      <c r="C1211" s="104">
        <f>_xlfn.FORECAST.ETS(A1211,$B$2:$B$950,$A$2:$A$950,12,1)</f>
        <v>98.773022360879565</v>
      </c>
      <c r="D1211" s="104">
        <f>C1211-_xlfn.FORECAST.ETS.CONFINT(A1211,$B$2:$B$950,$A$2:$A$950,0.95,12,1)</f>
        <v>23.639287917274586</v>
      </c>
      <c r="E1211" s="104">
        <f>C1211+_xlfn.FORECAST.ETS.CONFINT(A1211,$B$2:$B$950,$A$2:$A$950,0.95,12,1)</f>
        <v>173.90675680448453</v>
      </c>
    </row>
    <row r="1212" spans="1:5">
      <c r="A1212" s="103">
        <v>53632</v>
      </c>
      <c r="C1212" s="104">
        <f>_xlfn.FORECAST.ETS(A1212,$B$2:$B$950,$A$2:$A$950,12,1)</f>
        <v>98.839779795175261</v>
      </c>
      <c r="D1212" s="104">
        <f>C1212-_xlfn.FORECAST.ETS.CONFINT(A1212,$B$2:$B$950,$A$2:$A$950,0.95,12,1)</f>
        <v>23.462207280851686</v>
      </c>
      <c r="E1212" s="104">
        <f>C1212+_xlfn.FORECAST.ETS.CONFINT(A1212,$B$2:$B$950,$A$2:$A$950,0.95,12,1)</f>
        <v>174.21735230949884</v>
      </c>
    </row>
    <row r="1213" spans="1:5">
      <c r="A1213" s="103">
        <v>53662</v>
      </c>
      <c r="C1213" s="104">
        <f>_xlfn.FORECAST.ETS(A1213,$B$2:$B$950,$A$2:$A$950,12,1)</f>
        <v>98.886930812979429</v>
      </c>
      <c r="D1213" s="104">
        <f>C1213-_xlfn.FORECAST.ETS.CONFINT(A1213,$B$2:$B$950,$A$2:$A$950,0.95,12,1)</f>
        <v>23.26535766253167</v>
      </c>
      <c r="E1213" s="104">
        <f>C1213+_xlfn.FORECAST.ETS.CONFINT(A1213,$B$2:$B$950,$A$2:$A$950,0.95,12,1)</f>
        <v>174.50850396342719</v>
      </c>
    </row>
    <row r="1214" spans="1:5">
      <c r="A1214" s="103">
        <v>53693</v>
      </c>
      <c r="C1214" s="104">
        <f>_xlfn.FORECAST.ETS(A1214,$B$2:$B$950,$A$2:$A$950,12,1)</f>
        <v>99.174478378333461</v>
      </c>
      <c r="D1214" s="104">
        <f>C1214-_xlfn.FORECAST.ETS.CONFINT(A1214,$B$2:$B$950,$A$2:$A$950,0.95,12,1)</f>
        <v>23.308741749515917</v>
      </c>
      <c r="E1214" s="104">
        <f>C1214+_xlfn.FORECAST.ETS.CONFINT(A1214,$B$2:$B$950,$A$2:$A$950,0.95,12,1)</f>
        <v>175.04021500715101</v>
      </c>
    </row>
    <row r="1215" spans="1:5">
      <c r="A1215" s="103">
        <v>53724</v>
      </c>
      <c r="C1215" s="104">
        <f>_xlfn.FORECAST.ETS(A1215,$B$2:$B$950,$A$2:$A$950,12,1)</f>
        <v>99.274914811258256</v>
      </c>
      <c r="D1215" s="104">
        <f>C1215-_xlfn.FORECAST.ETS.CONFINT(A1215,$B$2:$B$950,$A$2:$A$950,0.95,12,1)</f>
        <v>23.16390335759769</v>
      </c>
      <c r="E1215" s="104">
        <f>C1215+_xlfn.FORECAST.ETS.CONFINT(A1215,$B$2:$B$950,$A$2:$A$950,0.95,12,1)</f>
        <v>175.38592626491882</v>
      </c>
    </row>
    <row r="1216" spans="1:5">
      <c r="A1216" s="103">
        <v>53752</v>
      </c>
      <c r="C1216" s="104">
        <f>_xlfn.FORECAST.ETS(A1216,$B$2:$B$950,$A$2:$A$950,12,1)</f>
        <v>99.401129620862321</v>
      </c>
      <c r="D1216" s="104">
        <f>C1216-_xlfn.FORECAST.ETS.CONFINT(A1216,$B$2:$B$950,$A$2:$A$950,0.95,12,1)</f>
        <v>23.045631228373338</v>
      </c>
      <c r="E1216" s="104">
        <f>C1216+_xlfn.FORECAST.ETS.CONFINT(A1216,$B$2:$B$950,$A$2:$A$950,0.95,12,1)</f>
        <v>175.7566280133513</v>
      </c>
    </row>
    <row r="1217" spans="1:5">
      <c r="A1217" s="103">
        <v>53783</v>
      </c>
      <c r="C1217" s="104">
        <f>_xlfn.FORECAST.ETS(A1217,$B$2:$B$950,$A$2:$A$950,12,1)</f>
        <v>99.588032471919249</v>
      </c>
      <c r="D1217" s="104">
        <f>C1217-_xlfn.FORECAST.ETS.CONFINT(A1217,$B$2:$B$950,$A$2:$A$950,0.95,12,1)</f>
        <v>22.987883477776322</v>
      </c>
      <c r="E1217" s="104">
        <f>C1217+_xlfn.FORECAST.ETS.CONFINT(A1217,$B$2:$B$950,$A$2:$A$950,0.95,12,1)</f>
        <v>176.18818146606219</v>
      </c>
    </row>
    <row r="1218" spans="1:5">
      <c r="A1218" s="103">
        <v>53813</v>
      </c>
      <c r="C1218" s="104">
        <f>_xlfn.FORECAST.ETS(A1218,$B$2:$B$950,$A$2:$A$950,12,1)</f>
        <v>99.670377624115858</v>
      </c>
      <c r="D1218" s="104">
        <f>C1218-_xlfn.FORECAST.ETS.CONFINT(A1218,$B$2:$B$950,$A$2:$A$950,0.95,12,1)</f>
        <v>22.825414106787647</v>
      </c>
      <c r="E1218" s="104">
        <f>C1218+_xlfn.FORECAST.ETS.CONFINT(A1218,$B$2:$B$950,$A$2:$A$950,0.95,12,1)</f>
        <v>176.51534114144408</v>
      </c>
    </row>
    <row r="1219" spans="1:5">
      <c r="A1219" s="103">
        <v>53844</v>
      </c>
      <c r="C1219" s="104">
        <f>_xlfn.FORECAST.ETS(A1219,$B$2:$B$950,$A$2:$A$950,12,1)</f>
        <v>99.643831983652831</v>
      </c>
      <c r="D1219" s="104">
        <f>C1219-_xlfn.FORECAST.ETS.CONFINT(A1219,$B$2:$B$950,$A$2:$A$950,0.95,12,1)</f>
        <v>22.553889767233059</v>
      </c>
      <c r="E1219" s="104">
        <f>C1219+_xlfn.FORECAST.ETS.CONFINT(A1219,$B$2:$B$950,$A$2:$A$950,0.95,12,1)</f>
        <v>176.73377420007262</v>
      </c>
    </row>
    <row r="1220" spans="1:5">
      <c r="A1220" s="103">
        <v>53874</v>
      </c>
      <c r="C1220" s="104">
        <f>_xlfn.FORECAST.ETS(A1220,$B$2:$B$950,$A$2:$A$950,12,1)</f>
        <v>99.701829047438395</v>
      </c>
      <c r="D1220" s="104">
        <f>C1220-_xlfn.FORECAST.ETS.CONFINT(A1220,$B$2:$B$950,$A$2:$A$950,0.95,12,1)</f>
        <v>22.366743705913535</v>
      </c>
      <c r="E1220" s="104">
        <f>C1220+_xlfn.FORECAST.ETS.CONFINT(A1220,$B$2:$B$950,$A$2:$A$950,0.95,12,1)</f>
        <v>177.03691438896325</v>
      </c>
    </row>
    <row r="1221" spans="1:5">
      <c r="A1221" s="103">
        <v>53905</v>
      </c>
      <c r="C1221" s="104">
        <f>_xlfn.FORECAST.ETS(A1221,$B$2:$B$950,$A$2:$A$950,12,1)</f>
        <v>99.806842570595066</v>
      </c>
      <c r="D1221" s="104">
        <f>C1221-_xlfn.FORECAST.ETS.CONFINT(A1221,$B$2:$B$950,$A$2:$A$950,0.95,12,1)</f>
        <v>22.226449432049975</v>
      </c>
      <c r="E1221" s="104">
        <f>C1221+_xlfn.FORECAST.ETS.CONFINT(A1221,$B$2:$B$950,$A$2:$A$950,0.95,12,1)</f>
        <v>177.38723570914016</v>
      </c>
    </row>
    <row r="1222" spans="1:5">
      <c r="A1222" s="103">
        <v>53936</v>
      </c>
      <c r="C1222" s="104">
        <f>_xlfn.FORECAST.ETS(A1222,$B$2:$B$950,$A$2:$A$950,12,1)</f>
        <v>99.854506676034291</v>
      </c>
      <c r="D1222" s="104">
        <f>C1222-_xlfn.FORECAST.ETS.CONFINT(A1222,$B$2:$B$950,$A$2:$A$950,0.95,12,1)</f>
        <v>22.028640826796774</v>
      </c>
      <c r="E1222" s="104">
        <f>C1222+_xlfn.FORECAST.ETS.CONFINT(A1222,$B$2:$B$950,$A$2:$A$950,0.95,12,1)</f>
        <v>177.68037252527182</v>
      </c>
    </row>
    <row r="1223" spans="1:5">
      <c r="A1223" s="103">
        <v>53966</v>
      </c>
      <c r="C1223" s="104">
        <f>_xlfn.FORECAST.ETS(A1223,$B$2:$B$950,$A$2:$A$950,12,1)</f>
        <v>99.90308885902968</v>
      </c>
      <c r="D1223" s="104">
        <f>C1223-_xlfn.FORECAST.ETS.CONFINT(A1223,$B$2:$B$950,$A$2:$A$950,0.95,12,1)</f>
        <v>21.831585147755106</v>
      </c>
      <c r="E1223" s="104">
        <f>C1223+_xlfn.FORECAST.ETS.CONFINT(A1223,$B$2:$B$950,$A$2:$A$950,0.95,12,1)</f>
        <v>177.97459257030425</v>
      </c>
    </row>
    <row r="1224" spans="1:5">
      <c r="A1224" s="103">
        <v>53997</v>
      </c>
      <c r="C1224" s="104">
        <f>_xlfn.FORECAST.ETS(A1224,$B$2:$B$950,$A$2:$A$950,12,1)</f>
        <v>99.969846293325389</v>
      </c>
      <c r="D1224" s="104">
        <f>C1224-_xlfn.FORECAST.ETS.CONFINT(A1224,$B$2:$B$950,$A$2:$A$950,0.95,12,1)</f>
        <v>21.652539335022212</v>
      </c>
      <c r="E1224" s="104">
        <f>C1224+_xlfn.FORECAST.ETS.CONFINT(A1224,$B$2:$B$950,$A$2:$A$950,0.95,12,1)</f>
        <v>178.28715325162858</v>
      </c>
    </row>
    <row r="1225" spans="1:5">
      <c r="A1225" s="103">
        <v>54027</v>
      </c>
      <c r="C1225" s="104">
        <f>_xlfn.FORECAST.ETS(A1225,$B$2:$B$950,$A$2:$A$950,12,1)</f>
        <v>100.01699731112956</v>
      </c>
      <c r="D1225" s="104">
        <f>C1225-_xlfn.FORECAST.ETS.CONFINT(A1225,$B$2:$B$950,$A$2:$A$950,0.95,12,1)</f>
        <v>21.453721491126885</v>
      </c>
      <c r="E1225" s="104">
        <f>C1225+_xlfn.FORECAST.ETS.CONFINT(A1225,$B$2:$B$950,$A$2:$A$950,0.95,12,1)</f>
        <v>178.58027313113223</v>
      </c>
    </row>
    <row r="1226" spans="1:5">
      <c r="A1226" s="103">
        <v>54058</v>
      </c>
      <c r="C1226" s="104">
        <f>_xlfn.FORECAST.ETS(A1226,$B$2:$B$950,$A$2:$A$950,12,1)</f>
        <v>100.30454487648358</v>
      </c>
      <c r="D1226" s="104">
        <f>C1226-_xlfn.FORECAST.ETS.CONFINT(A1226,$B$2:$B$950,$A$2:$A$950,0.95,12,1)</f>
        <v>21.495134354341729</v>
      </c>
      <c r="E1226" s="104">
        <f>C1226+_xlfn.FORECAST.ETS.CONFINT(A1226,$B$2:$B$950,$A$2:$A$950,0.95,12,1)</f>
        <v>179.11395539862542</v>
      </c>
    </row>
    <row r="1227" spans="1:5">
      <c r="A1227" s="103">
        <v>54089</v>
      </c>
      <c r="C1227" s="104">
        <f>_xlfn.FORECAST.ETS(A1227,$B$2:$B$950,$A$2:$A$950,12,1)</f>
        <v>100.40498130940837</v>
      </c>
      <c r="D1227" s="104">
        <f>C1227-_xlfn.FORECAST.ETS.CONFINT(A1227,$B$2:$B$950,$A$2:$A$950,0.95,12,1)</f>
        <v>21.34833587116448</v>
      </c>
      <c r="E1227" s="104">
        <f>C1227+_xlfn.FORECAST.ETS.CONFINT(A1227,$B$2:$B$950,$A$2:$A$950,0.95,12,1)</f>
        <v>179.46162674765225</v>
      </c>
    </row>
    <row r="1228" spans="1:5">
      <c r="A1228" s="103">
        <v>54118</v>
      </c>
      <c r="C1228" s="104">
        <f>_xlfn.FORECAST.ETS(A1228,$B$2:$B$950,$A$2:$A$950,12,1)</f>
        <v>100.53119611901244</v>
      </c>
      <c r="D1228" s="104">
        <f>C1228-_xlfn.FORECAST.ETS.CONFINT(A1228,$B$2:$B$950,$A$2:$A$950,0.95,12,1)</f>
        <v>21.228086539066339</v>
      </c>
      <c r="E1228" s="104">
        <f>C1228+_xlfn.FORECAST.ETS.CONFINT(A1228,$B$2:$B$950,$A$2:$A$950,0.95,12,1)</f>
        <v>179.83430569895853</v>
      </c>
    </row>
    <row r="1229" spans="1:5">
      <c r="A1229" s="103">
        <v>54149</v>
      </c>
      <c r="C1229" s="104">
        <f>_xlfn.FORECAST.ETS(A1229,$B$2:$B$950,$A$2:$A$950,12,1)</f>
        <v>100.71809897006936</v>
      </c>
      <c r="D1229" s="104">
        <f>C1229-_xlfn.FORECAST.ETS.CONFINT(A1229,$B$2:$B$950,$A$2:$A$950,0.95,12,1)</f>
        <v>21.168358737534419</v>
      </c>
      <c r="E1229" s="104">
        <f>C1229+_xlfn.FORECAST.ETS.CONFINT(A1229,$B$2:$B$950,$A$2:$A$950,0.95,12,1)</f>
        <v>180.26783920260431</v>
      </c>
    </row>
    <row r="1230" spans="1:5">
      <c r="A1230" s="103">
        <v>54179</v>
      </c>
      <c r="C1230" s="104">
        <f>_xlfn.FORECAST.ETS(A1230,$B$2:$B$950,$A$2:$A$950,12,1)</f>
        <v>100.80044412226599</v>
      </c>
      <c r="D1230" s="104">
        <f>C1230-_xlfn.FORECAST.ETS.CONFINT(A1230,$B$2:$B$950,$A$2:$A$950,0.95,12,1)</f>
        <v>21.003906515710057</v>
      </c>
      <c r="E1230" s="104">
        <f>C1230+_xlfn.FORECAST.ETS.CONFINT(A1230,$B$2:$B$950,$A$2:$A$950,0.95,12,1)</f>
        <v>180.5969817288219</v>
      </c>
    </row>
    <row r="1231" spans="1:5">
      <c r="A1231" s="103">
        <v>54210</v>
      </c>
      <c r="C1231" s="104">
        <f>_xlfn.FORECAST.ETS(A1231,$B$2:$B$950,$A$2:$A$950,12,1)</f>
        <v>100.77389848180296</v>
      </c>
      <c r="D1231" s="104">
        <f>C1231-_xlfn.FORECAST.ETS.CONFINT(A1231,$B$2:$B$950,$A$2:$A$950,0.95,12,1)</f>
        <v>20.730396572886036</v>
      </c>
      <c r="E1231" s="104">
        <f>C1231+_xlfn.FORECAST.ETS.CONFINT(A1231,$B$2:$B$950,$A$2:$A$950,0.95,12,1)</f>
        <v>180.81740039071988</v>
      </c>
    </row>
    <row r="1232" spans="1:5">
      <c r="A1232" s="103">
        <v>54240</v>
      </c>
      <c r="C1232" s="104">
        <f>_xlfn.FORECAST.ETS(A1232,$B$2:$B$950,$A$2:$A$950,12,1)</f>
        <v>100.83189554558851</v>
      </c>
      <c r="D1232" s="104">
        <f>C1232-_xlfn.FORECAST.ETS.CONFINT(A1232,$B$2:$B$950,$A$2:$A$950,0.95,12,1)</f>
        <v>20.541262202648724</v>
      </c>
      <c r="E1232" s="104">
        <f>C1232+_xlfn.FORECAST.ETS.CONFINT(A1232,$B$2:$B$950,$A$2:$A$950,0.95,12,1)</f>
        <v>181.12252888852828</v>
      </c>
    </row>
    <row r="1233" spans="1:5">
      <c r="A1233" s="103">
        <v>54271</v>
      </c>
      <c r="C1233" s="104">
        <f>_xlfn.FORECAST.ETS(A1233,$B$2:$B$950,$A$2:$A$950,12,1)</f>
        <v>100.93690906874518</v>
      </c>
      <c r="D1233" s="104">
        <f>C1233-_xlfn.FORECAST.ETS.CONFINT(A1233,$B$2:$B$950,$A$2:$A$950,0.95,12,1)</f>
        <v>20.398976960334039</v>
      </c>
      <c r="E1233" s="104">
        <f>C1233+_xlfn.FORECAST.ETS.CONFINT(A1233,$B$2:$B$950,$A$2:$A$950,0.95,12,1)</f>
        <v>181.47484117715632</v>
      </c>
    </row>
    <row r="1234" spans="1:5">
      <c r="A1234" s="103">
        <v>54302</v>
      </c>
      <c r="C1234" s="104">
        <f>_xlfn.FORECAST.ETS(A1234,$B$2:$B$950,$A$2:$A$950,12,1)</f>
        <v>100.98457317418442</v>
      </c>
      <c r="D1234" s="104">
        <f>C1234-_xlfn.FORECAST.ETS.CONFINT(A1234,$B$2:$B$950,$A$2:$A$950,0.95,12,1)</f>
        <v>20.199174772552027</v>
      </c>
      <c r="E1234" s="104">
        <f>C1234+_xlfn.FORECAST.ETS.CONFINT(A1234,$B$2:$B$950,$A$2:$A$950,0.95,12,1)</f>
        <v>181.76997157581681</v>
      </c>
    </row>
    <row r="1235" spans="1:5">
      <c r="A1235" s="103">
        <v>54332</v>
      </c>
      <c r="C1235" s="104">
        <f>_xlfn.FORECAST.ETS(A1235,$B$2:$B$950,$A$2:$A$950,12,1)</f>
        <v>101.03315535717981</v>
      </c>
      <c r="D1235" s="104">
        <f>C1235-_xlfn.FORECAST.ETS.CONFINT(A1235,$B$2:$B$950,$A$2:$A$950,0.95,12,1)</f>
        <v>20.000122941711155</v>
      </c>
      <c r="E1235" s="104">
        <f>C1235+_xlfn.FORECAST.ETS.CONFINT(A1235,$B$2:$B$950,$A$2:$A$950,0.95,12,1)</f>
        <v>182.06618777264845</v>
      </c>
    </row>
    <row r="1236" spans="1:5">
      <c r="A1236" s="103">
        <v>54363</v>
      </c>
      <c r="C1236" s="104">
        <f>_xlfn.FORECAST.ETS(A1236,$B$2:$B$950,$A$2:$A$950,12,1)</f>
        <v>101.0999127914755</v>
      </c>
      <c r="D1236" s="104">
        <f>C1236-_xlfn.FORECAST.ETS.CONFINT(A1236,$B$2:$B$950,$A$2:$A$950,0.95,12,1)</f>
        <v>19.819078452078159</v>
      </c>
      <c r="E1236" s="104">
        <f>C1236+_xlfn.FORECAST.ETS.CONFINT(A1236,$B$2:$B$950,$A$2:$A$950,0.95,12,1)</f>
        <v>182.38074713087286</v>
      </c>
    </row>
    <row r="1237" spans="1:5">
      <c r="A1237" s="103">
        <v>54393</v>
      </c>
      <c r="C1237" s="104">
        <f>_xlfn.FORECAST.ETS(A1237,$B$2:$B$950,$A$2:$A$950,12,1)</f>
        <v>101.14706380927967</v>
      </c>
      <c r="D1237" s="104">
        <f>C1237-_xlfn.FORECAST.ETS.CONFINT(A1237,$B$2:$B$950,$A$2:$A$950,0.95,12,1)</f>
        <v>19.618259449724178</v>
      </c>
      <c r="E1237" s="104">
        <f>C1237+_xlfn.FORECAST.ETS.CONFINT(A1237,$B$2:$B$950,$A$2:$A$950,0.95,12,1)</f>
        <v>182.67586816883517</v>
      </c>
    </row>
    <row r="1238" spans="1:5">
      <c r="A1238" s="103">
        <v>54424</v>
      </c>
      <c r="C1238" s="104">
        <f>_xlfn.FORECAST.ETS(A1238,$B$2:$B$950,$A$2:$A$950,12,1)</f>
        <v>101.43461137463369</v>
      </c>
      <c r="D1238" s="104">
        <f>C1238-_xlfn.FORECAST.ETS.CONFINT(A1238,$B$2:$B$950,$A$2:$A$950,0.95,12,1)</f>
        <v>19.657668715846981</v>
      </c>
      <c r="E1238" s="104">
        <f>C1238+_xlfn.FORECAST.ETS.CONFINT(A1238,$B$2:$B$950,$A$2:$A$950,0.95,12,1)</f>
        <v>183.21155403342038</v>
      </c>
    </row>
    <row r="1239" spans="1:5">
      <c r="A1239" s="103">
        <v>54455</v>
      </c>
      <c r="C1239" s="104">
        <f>_xlfn.FORECAST.ETS(A1239,$B$2:$B$950,$A$2:$A$950,12,1)</f>
        <v>101.53504780755848</v>
      </c>
      <c r="D1239" s="104">
        <f>C1239-_xlfn.FORECAST.ETS.CONFINT(A1239,$B$2:$B$950,$A$2:$A$950,0.95,12,1)</f>
        <v>19.508877576327535</v>
      </c>
      <c r="E1239" s="104">
        <f>C1239+_xlfn.FORECAST.ETS.CONFINT(A1239,$B$2:$B$950,$A$2:$A$950,0.95,12,1)</f>
        <v>183.56121803878943</v>
      </c>
    </row>
    <row r="1240" spans="1:5">
      <c r="A1240" s="103">
        <v>54483</v>
      </c>
      <c r="C1240" s="104">
        <f>_xlfn.FORECAST.ETS(A1240,$B$2:$B$950,$A$2:$A$950,12,1)</f>
        <v>101.66126261716256</v>
      </c>
      <c r="D1240" s="104">
        <f>C1240-_xlfn.FORECAST.ETS.CONFINT(A1240,$B$2:$B$950,$A$2:$A$950,0.95,12,1)</f>
        <v>19.38661977389485</v>
      </c>
      <c r="E1240" s="104">
        <f>C1240+_xlfn.FORECAST.ETS.CONFINT(A1240,$B$2:$B$950,$A$2:$A$950,0.95,12,1)</f>
        <v>183.93590546043026</v>
      </c>
    </row>
    <row r="1241" spans="1:5">
      <c r="A1241" s="103">
        <v>54514</v>
      </c>
      <c r="C1241" s="104">
        <f>_xlfn.FORECAST.ETS(A1241,$B$2:$B$950,$A$2:$A$950,12,1)</f>
        <v>101.84816546821949</v>
      </c>
      <c r="D1241" s="104">
        <f>C1241-_xlfn.FORECAST.ETS.CONFINT(A1241,$B$2:$B$950,$A$2:$A$950,0.95,12,1)</f>
        <v>19.324881189741262</v>
      </c>
      <c r="E1241" s="104">
        <f>C1241+_xlfn.FORECAST.ETS.CONFINT(A1241,$B$2:$B$950,$A$2:$A$950,0.95,12,1)</f>
        <v>184.37144974669772</v>
      </c>
    </row>
    <row r="1242" spans="1:5">
      <c r="A1242" s="103">
        <v>54544</v>
      </c>
      <c r="C1242" s="104">
        <f>_xlfn.FORECAST.ETS(A1242,$B$2:$B$950,$A$2:$A$950,12,1)</f>
        <v>101.9305106204161</v>
      </c>
      <c r="D1242" s="104">
        <f>C1242-_xlfn.FORECAST.ETS.CONFINT(A1242,$B$2:$B$950,$A$2:$A$950,0.95,12,1)</f>
        <v>19.158415913550002</v>
      </c>
      <c r="E1242" s="104">
        <f>C1242+_xlfn.FORECAST.ETS.CONFINT(A1242,$B$2:$B$950,$A$2:$A$950,0.95,12,1)</f>
        <v>184.70260532728219</v>
      </c>
    </row>
    <row r="1243" spans="1:5">
      <c r="A1243" s="103">
        <v>54575</v>
      </c>
      <c r="C1243" s="104">
        <f>_xlfn.FORECAST.ETS(A1243,$B$2:$B$950,$A$2:$A$950,12,1)</f>
        <v>101.90396497995307</v>
      </c>
      <c r="D1243" s="104">
        <f>C1243-_xlfn.FORECAST.ETS.CONFINT(A1243,$B$2:$B$950,$A$2:$A$950,0.95,12,1)</f>
        <v>18.882890684587366</v>
      </c>
      <c r="E1243" s="104">
        <f>C1243+_xlfn.FORECAST.ETS.CONFINT(A1243,$B$2:$B$950,$A$2:$A$950,0.95,12,1)</f>
        <v>184.9250392753188</v>
      </c>
    </row>
    <row r="1244" spans="1:5">
      <c r="A1244" s="103">
        <v>54605</v>
      </c>
      <c r="C1244" s="104">
        <f>_xlfn.FORECAST.ETS(A1244,$B$2:$B$950,$A$2:$A$950,12,1)</f>
        <v>101.96196204373864</v>
      </c>
      <c r="D1244" s="104">
        <f>C1244-_xlfn.FORECAST.ETS.CONFINT(A1244,$B$2:$B$950,$A$2:$A$950,0.95,12,1)</f>
        <v>18.691738835854053</v>
      </c>
      <c r="E1244" s="104">
        <f>C1244+_xlfn.FORECAST.ETS.CONFINT(A1244,$B$2:$B$950,$A$2:$A$950,0.95,12,1)</f>
        <v>185.23218525162321</v>
      </c>
    </row>
    <row r="1245" spans="1:5">
      <c r="A1245" s="103">
        <v>54636</v>
      </c>
      <c r="C1245" s="104">
        <f>_xlfn.FORECAST.ETS(A1245,$B$2:$B$950,$A$2:$A$950,12,1)</f>
        <v>102.06697556689531</v>
      </c>
      <c r="D1245" s="104">
        <f>C1245-_xlfn.FORECAST.ETS.CONFINT(A1245,$B$2:$B$950,$A$2:$A$950,0.95,12,1)</f>
        <v>18.547433961549984</v>
      </c>
      <c r="E1245" s="104">
        <f>C1245+_xlfn.FORECAST.ETS.CONFINT(A1245,$B$2:$B$950,$A$2:$A$950,0.95,12,1)</f>
        <v>185.58651717224063</v>
      </c>
    </row>
    <row r="1246" spans="1:5">
      <c r="A1246" s="103">
        <v>54667</v>
      </c>
      <c r="C1246" s="104">
        <f>_xlfn.FORECAST.ETS(A1246,$B$2:$B$950,$A$2:$A$950,12,1)</f>
        <v>102.11463967233453</v>
      </c>
      <c r="D1246" s="104">
        <f>C1246-_xlfn.FORECAST.ETS.CONFINT(A1246,$B$2:$B$950,$A$2:$A$950,0.95,12,1)</f>
        <v>18.345610026607901</v>
      </c>
      <c r="E1246" s="104">
        <f>C1246+_xlfn.FORECAST.ETS.CONFINT(A1246,$B$2:$B$950,$A$2:$A$950,0.95,12,1)</f>
        <v>185.88366931806115</v>
      </c>
    </row>
    <row r="1247" spans="1:5">
      <c r="A1247" s="103">
        <v>54697</v>
      </c>
      <c r="C1247" s="104">
        <f>_xlfn.FORECAST.ETS(A1247,$B$2:$B$950,$A$2:$A$950,12,1)</f>
        <v>102.16322185532992</v>
      </c>
      <c r="D1247" s="104">
        <f>C1247-_xlfn.FORECAST.ETS.CONFINT(A1247,$B$2:$B$950,$A$2:$A$950,0.95,12,1)</f>
        <v>18.144534371226101</v>
      </c>
      <c r="E1247" s="104">
        <f>C1247+_xlfn.FORECAST.ETS.CONFINT(A1247,$B$2:$B$950,$A$2:$A$950,0.95,12,1)</f>
        <v>186.18190933943373</v>
      </c>
    </row>
    <row r="1248" spans="1:5">
      <c r="A1248" s="103">
        <v>54728</v>
      </c>
      <c r="C1248" s="104">
        <f>_xlfn.FORECAST.ETS(A1248,$B$2:$B$950,$A$2:$A$950,12,1)</f>
        <v>102.22997928962562</v>
      </c>
      <c r="D1248" s="104">
        <f>C1248-_xlfn.FORECAST.ETS.CONFINT(A1248,$B$2:$B$950,$A$2:$A$950,0.95,12,1)</f>
        <v>17.961464016936887</v>
      </c>
      <c r="E1248" s="104">
        <f>C1248+_xlfn.FORECAST.ETS.CONFINT(A1248,$B$2:$B$950,$A$2:$A$950,0.95,12,1)</f>
        <v>186.49849456231436</v>
      </c>
    </row>
    <row r="1249" spans="1:5">
      <c r="A1249" s="103">
        <v>54758</v>
      </c>
      <c r="C1249" s="104">
        <f>_xlfn.FORECAST.ETS(A1249,$B$2:$B$950,$A$2:$A$950,12,1)</f>
        <v>102.27713030742979</v>
      </c>
      <c r="D1249" s="104">
        <f>C1249-_xlfn.FORECAST.ETS.CONFINT(A1249,$B$2:$B$950,$A$2:$A$950,0.95,12,1)</f>
        <v>17.758617146560951</v>
      </c>
      <c r="E1249" s="104">
        <f>C1249+_xlfn.FORECAST.ETS.CONFINT(A1249,$B$2:$B$950,$A$2:$A$950,0.95,12,1)</f>
        <v>186.79564346829864</v>
      </c>
    </row>
    <row r="1250" spans="1:5">
      <c r="A1250" s="103">
        <v>54789</v>
      </c>
      <c r="C1250" s="104">
        <f>_xlfn.FORECAST.ETS(A1250,$B$2:$B$950,$A$2:$A$950,12,1)</f>
        <v>102.5646778727838</v>
      </c>
      <c r="D1250" s="104">
        <f>C1250-_xlfn.FORECAST.ETS.CONFINT(A1250,$B$2:$B$950,$A$2:$A$950,0.95,12,1)</f>
        <v>17.795996577537821</v>
      </c>
      <c r="E1250" s="104">
        <f>C1250+_xlfn.FORECAST.ETS.CONFINT(A1250,$B$2:$B$950,$A$2:$A$950,0.95,12,1)</f>
        <v>187.3333591680298</v>
      </c>
    </row>
    <row r="1251" spans="1:5">
      <c r="A1251" s="103">
        <v>54820</v>
      </c>
      <c r="C1251" s="104">
        <f>_xlfn.FORECAST.ETS(A1251,$B$2:$B$950,$A$2:$A$950,12,1)</f>
        <v>102.66511430570861</v>
      </c>
      <c r="D1251" s="104">
        <f>C1251-_xlfn.FORECAST.ETS.CONFINT(A1251,$B$2:$B$950,$A$2:$A$950,0.95,12,1)</f>
        <v>17.645186335543258</v>
      </c>
      <c r="E1251" s="104">
        <f>C1251+_xlfn.FORECAST.ETS.CONFINT(A1251,$B$2:$B$950,$A$2:$A$950,0.95,12,1)</f>
        <v>187.68504227587397</v>
      </c>
    </row>
    <row r="1252" spans="1:5">
      <c r="A1252" s="103">
        <v>54848</v>
      </c>
      <c r="C1252" s="104">
        <f>_xlfn.FORECAST.ETS(A1252,$B$2:$B$950,$A$2:$A$950,12,1)</f>
        <v>102.79132911531268</v>
      </c>
      <c r="D1252" s="104">
        <f>C1252-_xlfn.FORECAST.ETS.CONFINT(A1252,$B$2:$B$950,$A$2:$A$950,0.95,12,1)</f>
        <v>17.520894757504792</v>
      </c>
      <c r="E1252" s="104">
        <f>C1252+_xlfn.FORECAST.ETS.CONFINT(A1252,$B$2:$B$950,$A$2:$A$950,0.95,12,1)</f>
        <v>188.06176347312055</v>
      </c>
    </row>
    <row r="1253" spans="1:5">
      <c r="A1253" s="103">
        <v>54879</v>
      </c>
      <c r="C1253" s="104">
        <f>_xlfn.FORECAST.ETS(A1253,$B$2:$B$950,$A$2:$A$950,12,1)</f>
        <v>102.97823196636961</v>
      </c>
      <c r="D1253" s="104">
        <f>C1253-_xlfn.FORECAST.ETS.CONFINT(A1253,$B$2:$B$950,$A$2:$A$950,0.95,12,1)</f>
        <v>17.457120537424899</v>
      </c>
      <c r="E1253" s="104">
        <f>C1253+_xlfn.FORECAST.ETS.CONFINT(A1253,$B$2:$B$950,$A$2:$A$950,0.95,12,1)</f>
        <v>188.49934339531433</v>
      </c>
    </row>
    <row r="1254" spans="1:5">
      <c r="A1254" s="103">
        <v>54909</v>
      </c>
      <c r="C1254" s="104">
        <f>_xlfn.FORECAST.ETS(A1254,$B$2:$B$950,$A$2:$A$950,12,1)</f>
        <v>103.06057711856623</v>
      </c>
      <c r="D1254" s="104">
        <f>C1254-_xlfn.FORECAST.ETS.CONFINT(A1254,$B$2:$B$950,$A$2:$A$950,0.95,12,1)</f>
        <v>17.288617799263633</v>
      </c>
      <c r="E1254" s="104">
        <f>C1254+_xlfn.FORECAST.ETS.CONFINT(A1254,$B$2:$B$950,$A$2:$A$950,0.95,12,1)</f>
        <v>188.83253643786884</v>
      </c>
    </row>
    <row r="1255" spans="1:5">
      <c r="A1255" s="103">
        <v>54940</v>
      </c>
      <c r="C1255" s="104">
        <f>_xlfn.FORECAST.ETS(A1255,$B$2:$B$950,$A$2:$A$950,12,1)</f>
        <v>103.0340314781032</v>
      </c>
      <c r="D1255" s="104">
        <f>C1255-_xlfn.FORECAST.ETS.CONFINT(A1255,$B$2:$B$950,$A$2:$A$950,0.95,12,1)</f>
        <v>17.011053316095129</v>
      </c>
      <c r="E1255" s="104">
        <f>C1255+_xlfn.FORECAST.ETS.CONFINT(A1255,$B$2:$B$950,$A$2:$A$950,0.95,12,1)</f>
        <v>189.05700964011129</v>
      </c>
    </row>
    <row r="1256" spans="1:5">
      <c r="A1256" s="103">
        <v>54970</v>
      </c>
      <c r="C1256" s="104">
        <f>_xlfn.FORECAST.ETS(A1256,$B$2:$B$950,$A$2:$A$950,12,1)</f>
        <v>103.09202854188875</v>
      </c>
      <c r="D1256" s="104">
        <f>C1256-_xlfn.FORECAST.ETS.CONFINT(A1256,$B$2:$B$950,$A$2:$A$950,0.95,12,1)</f>
        <v>16.817860454266139</v>
      </c>
      <c r="E1256" s="104">
        <f>C1256+_xlfn.FORECAST.ETS.CONFINT(A1256,$B$2:$B$950,$A$2:$A$950,0.95,12,1)</f>
        <v>189.36619662951136</v>
      </c>
    </row>
    <row r="1257" spans="1:5">
      <c r="A1257" s="103">
        <v>55001</v>
      </c>
      <c r="C1257" s="104">
        <f>_xlfn.FORECAST.ETS(A1257,$B$2:$B$950,$A$2:$A$950,12,1)</f>
        <v>103.19704206504542</v>
      </c>
      <c r="D1257" s="104">
        <f>C1257-_xlfn.FORECAST.ETS.CONFINT(A1257,$B$2:$B$950,$A$2:$A$950,0.95,12,1)</f>
        <v>16.671512840868132</v>
      </c>
      <c r="E1257" s="104">
        <f>C1257+_xlfn.FORECAST.ETS.CONFINT(A1257,$B$2:$B$950,$A$2:$A$950,0.95,12,1)</f>
        <v>189.72257128922271</v>
      </c>
    </row>
    <row r="1258" spans="1:5">
      <c r="A1258" s="103">
        <v>55032</v>
      </c>
      <c r="C1258" s="104">
        <f>_xlfn.FORECAST.ETS(A1258,$B$2:$B$950,$A$2:$A$950,12,1)</f>
        <v>103.24470617048465</v>
      </c>
      <c r="D1258" s="104">
        <f>C1258-_xlfn.FORECAST.ETS.CONFINT(A1258,$B$2:$B$950,$A$2:$A$950,0.95,12,1)</f>
        <v>16.467644473277801</v>
      </c>
      <c r="E1258" s="104">
        <f>C1258+_xlfn.FORECAST.ETS.CONFINT(A1258,$B$2:$B$950,$A$2:$A$950,0.95,12,1)</f>
        <v>190.02176786769149</v>
      </c>
    </row>
    <row r="1259" spans="1:5">
      <c r="A1259" s="103"/>
      <c r="C1259" s="104">
        <f>AVERAGE(C950:C1258)</f>
        <v>88.796123365557307</v>
      </c>
      <c r="D1259" s="104">
        <f>AVERAGE(D950:D1258)</f>
        <v>38.90729221877335</v>
      </c>
      <c r="E1259" s="104">
        <f>AVERAGE(E950:E1258)</f>
        <v>138.68495451234145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opLeftCell="A934" workbookViewId="0">
      <selection activeCell="A2" sqref="A1:B950"/>
    </sheetView>
  </sheetViews>
  <sheetFormatPr defaultColWidth="14.44140625" defaultRowHeight="15" customHeight="1"/>
  <cols>
    <col min="1" max="1" width="16.6640625" customWidth="1"/>
    <col min="2" max="5" width="8.6640625" customWidth="1"/>
    <col min="6" max="6" width="9.5546875" bestFit="1" customWidth="1"/>
    <col min="7" max="7" width="11.109375" bestFit="1" customWidth="1"/>
    <col min="8" max="8" width="10.21875" bestFit="1" customWidth="1"/>
    <col min="9" max="9" width="15.5546875" bestFit="1" customWidth="1"/>
    <col min="10" max="10" width="15.21875" bestFit="1" customWidth="1"/>
    <col min="11" max="11" width="8.6640625" customWidth="1"/>
    <col min="12" max="12" width="17" bestFit="1" customWidth="1"/>
    <col min="13" max="26" width="8.6640625" customWidth="1"/>
  </cols>
  <sheetData>
    <row r="1" spans="1:12" ht="14.4">
      <c r="A1" s="91" t="s">
        <v>0</v>
      </c>
      <c r="B1" s="92" t="s">
        <v>1</v>
      </c>
      <c r="F1" s="101"/>
      <c r="G1" s="101"/>
      <c r="H1" s="101"/>
      <c r="I1" s="101"/>
      <c r="J1" s="101"/>
      <c r="L1" s="101"/>
    </row>
    <row r="2" spans="1:12" ht="14.4">
      <c r="A2" s="93">
        <v>16803</v>
      </c>
      <c r="B2" s="94">
        <v>1.17</v>
      </c>
      <c r="F2" s="102"/>
    </row>
    <row r="3" spans="1:12" ht="14.4">
      <c r="A3" s="93">
        <v>16834</v>
      </c>
      <c r="B3" s="94">
        <v>1.17</v>
      </c>
      <c r="F3" s="102"/>
    </row>
    <row r="4" spans="1:12" ht="14.4">
      <c r="A4" s="93">
        <v>16862</v>
      </c>
      <c r="B4" s="94">
        <v>1.17</v>
      </c>
      <c r="F4" s="102"/>
    </row>
    <row r="5" spans="1:12" ht="14.4">
      <c r="A5" s="93">
        <v>16893</v>
      </c>
      <c r="B5" s="94">
        <v>1.27</v>
      </c>
      <c r="F5" s="102"/>
    </row>
    <row r="6" spans="1:12" ht="14.4">
      <c r="A6" s="93">
        <v>16923</v>
      </c>
      <c r="B6" s="94">
        <v>1.27</v>
      </c>
      <c r="F6" s="102"/>
    </row>
    <row r="7" spans="1:12" ht="14.4">
      <c r="A7" s="93">
        <v>16954</v>
      </c>
      <c r="B7" s="94">
        <v>1.27</v>
      </c>
      <c r="F7" s="102"/>
    </row>
    <row r="8" spans="1:12" ht="14.4">
      <c r="A8" s="93">
        <v>16984</v>
      </c>
      <c r="B8" s="94">
        <v>1.27</v>
      </c>
      <c r="F8" s="102"/>
    </row>
    <row r="9" spans="1:12" ht="14.4">
      <c r="A9" s="93">
        <v>17015</v>
      </c>
      <c r="B9" s="94">
        <v>1.52</v>
      </c>
      <c r="F9" s="102"/>
    </row>
    <row r="10" spans="1:12" ht="14.4">
      <c r="A10" s="93">
        <v>17046</v>
      </c>
      <c r="B10" s="94">
        <v>1.52</v>
      </c>
      <c r="F10" s="102"/>
    </row>
    <row r="11" spans="1:12" ht="14.4">
      <c r="A11" s="93">
        <v>17076</v>
      </c>
      <c r="B11" s="94">
        <v>1.52</v>
      </c>
      <c r="F11" s="102"/>
    </row>
    <row r="12" spans="1:12" ht="14.4">
      <c r="A12" s="93">
        <v>17107</v>
      </c>
      <c r="B12" s="94">
        <v>1.52</v>
      </c>
      <c r="F12" s="102"/>
    </row>
    <row r="13" spans="1:12" ht="14.4">
      <c r="A13" s="93">
        <v>17137</v>
      </c>
      <c r="B13" s="94">
        <v>1.62</v>
      </c>
      <c r="F13" s="102"/>
    </row>
    <row r="14" spans="1:12" ht="14.4">
      <c r="A14" s="93">
        <v>17168</v>
      </c>
      <c r="B14" s="94">
        <v>1.62</v>
      </c>
    </row>
    <row r="15" spans="1:12" ht="14.4">
      <c r="A15" s="93">
        <v>17199</v>
      </c>
      <c r="B15" s="94">
        <v>1.62</v>
      </c>
    </row>
    <row r="16" spans="1:12" ht="14.4">
      <c r="A16" s="93">
        <v>17227</v>
      </c>
      <c r="B16" s="94">
        <v>1.62</v>
      </c>
    </row>
    <row r="17" spans="1:2" ht="14.4">
      <c r="A17" s="93">
        <v>17258</v>
      </c>
      <c r="B17" s="94">
        <v>1.87</v>
      </c>
    </row>
    <row r="18" spans="1:2" ht="14.4">
      <c r="A18" s="93">
        <v>17288</v>
      </c>
      <c r="B18" s="94">
        <v>1.87</v>
      </c>
    </row>
    <row r="19" spans="1:2" ht="14.4">
      <c r="A19" s="93">
        <v>17319</v>
      </c>
      <c r="B19" s="94">
        <v>1.87</v>
      </c>
    </row>
    <row r="20" spans="1:2" ht="14.4">
      <c r="A20" s="93">
        <v>17349</v>
      </c>
      <c r="B20" s="94">
        <v>1.87</v>
      </c>
    </row>
    <row r="21" spans="1:2" ht="15.75" customHeight="1">
      <c r="A21" s="93">
        <v>17380</v>
      </c>
      <c r="B21" s="94">
        <v>1.87</v>
      </c>
    </row>
    <row r="22" spans="1:2" ht="15.75" customHeight="1">
      <c r="A22" s="93">
        <v>17411</v>
      </c>
      <c r="B22" s="94">
        <v>1.87</v>
      </c>
    </row>
    <row r="23" spans="1:2" ht="15.75" customHeight="1">
      <c r="A23" s="93">
        <v>17441</v>
      </c>
      <c r="B23" s="94">
        <v>1.87</v>
      </c>
    </row>
    <row r="24" spans="1:2" ht="15.75" customHeight="1">
      <c r="A24" s="93">
        <v>17472</v>
      </c>
      <c r="B24" s="94">
        <v>2.0699999999999998</v>
      </c>
    </row>
    <row r="25" spans="1:2" ht="15.75" customHeight="1">
      <c r="A25" s="93">
        <v>17502</v>
      </c>
      <c r="B25" s="94">
        <v>2.0699999999999998</v>
      </c>
    </row>
    <row r="26" spans="1:2" ht="15.75" customHeight="1">
      <c r="A26" s="93">
        <v>17533</v>
      </c>
      <c r="B26" s="94">
        <v>2.57</v>
      </c>
    </row>
    <row r="27" spans="1:2" ht="15.75" customHeight="1">
      <c r="A27" s="93">
        <v>17564</v>
      </c>
      <c r="B27" s="94">
        <v>2.57</v>
      </c>
    </row>
    <row r="28" spans="1:2" ht="15.75" customHeight="1">
      <c r="A28" s="93">
        <v>17593</v>
      </c>
      <c r="B28" s="94">
        <v>2.57</v>
      </c>
    </row>
    <row r="29" spans="1:2" ht="15.75" customHeight="1">
      <c r="A29" s="93">
        <v>17624</v>
      </c>
      <c r="B29" s="94">
        <v>2.57</v>
      </c>
    </row>
    <row r="30" spans="1:2" ht="15.75" customHeight="1">
      <c r="A30" s="93">
        <v>17654</v>
      </c>
      <c r="B30" s="94">
        <v>2.57</v>
      </c>
    </row>
    <row r="31" spans="1:2" ht="15.75" customHeight="1">
      <c r="A31" s="93">
        <v>17685</v>
      </c>
      <c r="B31" s="94">
        <v>2.57</v>
      </c>
    </row>
    <row r="32" spans="1:2" ht="15.75" customHeight="1">
      <c r="A32" s="93">
        <v>17715</v>
      </c>
      <c r="B32" s="94">
        <v>2.57</v>
      </c>
    </row>
    <row r="33" spans="1:2" ht="15.75" customHeight="1">
      <c r="A33" s="93">
        <v>17746</v>
      </c>
      <c r="B33" s="94">
        <v>2.57</v>
      </c>
    </row>
    <row r="34" spans="1:2" ht="15.75" customHeight="1">
      <c r="A34" s="93">
        <v>17777</v>
      </c>
      <c r="B34" s="94">
        <v>2.57</v>
      </c>
    </row>
    <row r="35" spans="1:2" ht="15.75" customHeight="1">
      <c r="A35" s="93">
        <v>17807</v>
      </c>
      <c r="B35" s="94">
        <v>2.57</v>
      </c>
    </row>
    <row r="36" spans="1:2" ht="15.75" customHeight="1">
      <c r="A36" s="93">
        <v>17838</v>
      </c>
      <c r="B36" s="94">
        <v>2.57</v>
      </c>
    </row>
    <row r="37" spans="1:2" ht="15.75" customHeight="1">
      <c r="A37" s="93">
        <v>17868</v>
      </c>
      <c r="B37" s="94">
        <v>2.57</v>
      </c>
    </row>
    <row r="38" spans="1:2" ht="15.75" customHeight="1">
      <c r="A38" s="93">
        <v>17899</v>
      </c>
      <c r="B38" s="94">
        <v>2.57</v>
      </c>
    </row>
    <row r="39" spans="1:2" ht="15.75" customHeight="1">
      <c r="A39" s="93">
        <v>17930</v>
      </c>
      <c r="B39" s="94">
        <v>2.57</v>
      </c>
    </row>
    <row r="40" spans="1:2" ht="15.75" customHeight="1">
      <c r="A40" s="93">
        <v>17958</v>
      </c>
      <c r="B40" s="94">
        <v>2.57</v>
      </c>
    </row>
    <row r="41" spans="1:2" ht="15.75" customHeight="1">
      <c r="A41" s="93">
        <v>17989</v>
      </c>
      <c r="B41" s="94">
        <v>2.57</v>
      </c>
    </row>
    <row r="42" spans="1:2" ht="15.75" customHeight="1">
      <c r="A42" s="93">
        <v>18019</v>
      </c>
      <c r="B42" s="94">
        <v>2.57</v>
      </c>
    </row>
    <row r="43" spans="1:2" ht="15.75" customHeight="1">
      <c r="A43" s="93">
        <v>18050</v>
      </c>
      <c r="B43" s="94">
        <v>2.57</v>
      </c>
    </row>
    <row r="44" spans="1:2" ht="15.75" customHeight="1">
      <c r="A44" s="93">
        <v>18080</v>
      </c>
      <c r="B44" s="94">
        <v>2.57</v>
      </c>
    </row>
    <row r="45" spans="1:2" ht="15.75" customHeight="1">
      <c r="A45" s="93">
        <v>18111</v>
      </c>
      <c r="B45" s="94">
        <v>2.57</v>
      </c>
    </row>
    <row r="46" spans="1:2" ht="15.75" customHeight="1">
      <c r="A46" s="93">
        <v>18142</v>
      </c>
      <c r="B46" s="94">
        <v>2.57</v>
      </c>
    </row>
    <row r="47" spans="1:2" ht="15.75" customHeight="1">
      <c r="A47" s="93">
        <v>18172</v>
      </c>
      <c r="B47" s="94">
        <v>2.57</v>
      </c>
    </row>
    <row r="48" spans="1:2" ht="15.75" customHeight="1">
      <c r="A48" s="93">
        <v>18203</v>
      </c>
      <c r="B48" s="94">
        <v>2.57</v>
      </c>
    </row>
    <row r="49" spans="1:2" ht="15.75" customHeight="1">
      <c r="A49" s="93">
        <v>18233</v>
      </c>
      <c r="B49" s="94">
        <v>2.57</v>
      </c>
    </row>
    <row r="50" spans="1:2" ht="15.75" customHeight="1">
      <c r="A50" s="93">
        <v>18264</v>
      </c>
      <c r="B50" s="94">
        <v>2.57</v>
      </c>
    </row>
    <row r="51" spans="1:2" ht="15.75" customHeight="1">
      <c r="A51" s="93">
        <v>18295</v>
      </c>
      <c r="B51" s="94">
        <v>2.57</v>
      </c>
    </row>
    <row r="52" spans="1:2" ht="15.75" customHeight="1">
      <c r="A52" s="93">
        <v>18323</v>
      </c>
      <c r="B52" s="94">
        <v>2.57</v>
      </c>
    </row>
    <row r="53" spans="1:2" ht="15.75" customHeight="1">
      <c r="A53" s="93">
        <v>18354</v>
      </c>
      <c r="B53" s="94">
        <v>2.57</v>
      </c>
    </row>
    <row r="54" spans="1:2" ht="15.75" customHeight="1">
      <c r="A54" s="93">
        <v>18384</v>
      </c>
      <c r="B54" s="94">
        <v>2.57</v>
      </c>
    </row>
    <row r="55" spans="1:2" ht="15.75" customHeight="1">
      <c r="A55" s="93">
        <v>18415</v>
      </c>
      <c r="B55" s="94">
        <v>2.57</v>
      </c>
    </row>
    <row r="56" spans="1:2" ht="15.75" customHeight="1">
      <c r="A56" s="93">
        <v>18445</v>
      </c>
      <c r="B56" s="94">
        <v>2.57</v>
      </c>
    </row>
    <row r="57" spans="1:2" ht="15.75" customHeight="1">
      <c r="A57" s="93">
        <v>18476</v>
      </c>
      <c r="B57" s="94">
        <v>2.57</v>
      </c>
    </row>
    <row r="58" spans="1:2" ht="15.75" customHeight="1">
      <c r="A58" s="93">
        <v>18507</v>
      </c>
      <c r="B58" s="94">
        <v>2.57</v>
      </c>
    </row>
    <row r="59" spans="1:2" ht="15.75" customHeight="1">
      <c r="A59" s="93">
        <v>18537</v>
      </c>
      <c r="B59" s="94">
        <v>2.57</v>
      </c>
    </row>
    <row r="60" spans="1:2" ht="15.75" customHeight="1">
      <c r="A60" s="93">
        <v>18568</v>
      </c>
      <c r="B60" s="94">
        <v>2.57</v>
      </c>
    </row>
    <row r="61" spans="1:2" ht="15.75" customHeight="1">
      <c r="A61" s="93">
        <v>18598</v>
      </c>
      <c r="B61" s="94">
        <v>2.57</v>
      </c>
    </row>
    <row r="62" spans="1:2" ht="15.75" customHeight="1">
      <c r="A62" s="93">
        <v>18629</v>
      </c>
      <c r="B62" s="94">
        <v>2.57</v>
      </c>
    </row>
    <row r="63" spans="1:2" ht="15.75" customHeight="1">
      <c r="A63" s="93">
        <v>18660</v>
      </c>
      <c r="B63" s="94">
        <v>2.57</v>
      </c>
    </row>
    <row r="64" spans="1:2" ht="15.75" customHeight="1">
      <c r="A64" s="93">
        <v>18688</v>
      </c>
      <c r="B64" s="94">
        <v>2.57</v>
      </c>
    </row>
    <row r="65" spans="1:2" ht="15.75" customHeight="1">
      <c r="A65" s="93">
        <v>18719</v>
      </c>
      <c r="B65" s="94">
        <v>2.57</v>
      </c>
    </row>
    <row r="66" spans="1:2" ht="15.75" customHeight="1">
      <c r="A66" s="93">
        <v>18749</v>
      </c>
      <c r="B66" s="94">
        <v>2.57</v>
      </c>
    </row>
    <row r="67" spans="1:2" ht="15.75" customHeight="1">
      <c r="A67" s="93">
        <v>18780</v>
      </c>
      <c r="B67" s="94">
        <v>2.57</v>
      </c>
    </row>
    <row r="68" spans="1:2" ht="15.75" customHeight="1">
      <c r="A68" s="93">
        <v>18810</v>
      </c>
      <c r="B68" s="94">
        <v>2.57</v>
      </c>
    </row>
    <row r="69" spans="1:2" ht="15.75" customHeight="1">
      <c r="A69" s="93">
        <v>18841</v>
      </c>
      <c r="B69" s="94">
        <v>2.57</v>
      </c>
    </row>
    <row r="70" spans="1:2" ht="15.75" customHeight="1">
      <c r="A70" s="93">
        <v>18872</v>
      </c>
      <c r="B70" s="94">
        <v>2.57</v>
      </c>
    </row>
    <row r="71" spans="1:2" ht="15.75" customHeight="1">
      <c r="A71" s="93">
        <v>18902</v>
      </c>
      <c r="B71" s="94">
        <v>2.57</v>
      </c>
    </row>
    <row r="72" spans="1:2" ht="15.75" customHeight="1">
      <c r="A72" s="93">
        <v>18933</v>
      </c>
      <c r="B72" s="94">
        <v>2.57</v>
      </c>
    </row>
    <row r="73" spans="1:2" ht="15.75" customHeight="1">
      <c r="A73" s="93">
        <v>18963</v>
      </c>
      <c r="B73" s="94">
        <v>2.57</v>
      </c>
    </row>
    <row r="74" spans="1:2" ht="15.75" customHeight="1">
      <c r="A74" s="93">
        <v>18994</v>
      </c>
      <c r="B74" s="94">
        <v>2.57</v>
      </c>
    </row>
    <row r="75" spans="1:2" ht="15.75" customHeight="1">
      <c r="A75" s="93">
        <v>19025</v>
      </c>
      <c r="B75" s="94">
        <v>2.57</v>
      </c>
    </row>
    <row r="76" spans="1:2" ht="15.75" customHeight="1">
      <c r="A76" s="93">
        <v>19054</v>
      </c>
      <c r="B76" s="94">
        <v>2.57</v>
      </c>
    </row>
    <row r="77" spans="1:2" ht="15.75" customHeight="1">
      <c r="A77" s="93">
        <v>19085</v>
      </c>
      <c r="B77" s="94">
        <v>2.57</v>
      </c>
    </row>
    <row r="78" spans="1:2" ht="15.75" customHeight="1">
      <c r="A78" s="93">
        <v>19115</v>
      </c>
      <c r="B78" s="94">
        <v>2.57</v>
      </c>
    </row>
    <row r="79" spans="1:2" ht="15.75" customHeight="1">
      <c r="A79" s="93">
        <v>19146</v>
      </c>
      <c r="B79" s="94">
        <v>2.57</v>
      </c>
    </row>
    <row r="80" spans="1:2" ht="15.75" customHeight="1">
      <c r="A80" s="93">
        <v>19176</v>
      </c>
      <c r="B80" s="94">
        <v>2.57</v>
      </c>
    </row>
    <row r="81" spans="1:2" ht="15.75" customHeight="1">
      <c r="A81" s="93">
        <v>19207</v>
      </c>
      <c r="B81" s="94">
        <v>2.57</v>
      </c>
    </row>
    <row r="82" spans="1:2" ht="15.75" customHeight="1">
      <c r="A82" s="93">
        <v>19238</v>
      </c>
      <c r="B82" s="94">
        <v>2.57</v>
      </c>
    </row>
    <row r="83" spans="1:2" ht="15.75" customHeight="1">
      <c r="A83" s="93">
        <v>19268</v>
      </c>
      <c r="B83" s="94">
        <v>2.57</v>
      </c>
    </row>
    <row r="84" spans="1:2" ht="15.75" customHeight="1">
      <c r="A84" s="93">
        <v>19299</v>
      </c>
      <c r="B84" s="94">
        <v>2.57</v>
      </c>
    </row>
    <row r="85" spans="1:2" ht="15.75" customHeight="1">
      <c r="A85" s="93">
        <v>19329</v>
      </c>
      <c r="B85" s="94">
        <v>2.57</v>
      </c>
    </row>
    <row r="86" spans="1:2" ht="15.75" customHeight="1">
      <c r="A86" s="93">
        <v>19360</v>
      </c>
      <c r="B86" s="94">
        <v>2.57</v>
      </c>
    </row>
    <row r="87" spans="1:2" ht="15.75" customHeight="1">
      <c r="A87" s="93">
        <v>19391</v>
      </c>
      <c r="B87" s="94">
        <v>2.57</v>
      </c>
    </row>
    <row r="88" spans="1:2" ht="15.75" customHeight="1">
      <c r="A88" s="93">
        <v>19419</v>
      </c>
      <c r="B88" s="94">
        <v>2.57</v>
      </c>
    </row>
    <row r="89" spans="1:2" ht="15.75" customHeight="1">
      <c r="A89" s="93">
        <v>19450</v>
      </c>
      <c r="B89" s="94">
        <v>2.57</v>
      </c>
    </row>
    <row r="90" spans="1:2" ht="15.75" customHeight="1">
      <c r="A90" s="93">
        <v>19480</v>
      </c>
      <c r="B90" s="94">
        <v>2.57</v>
      </c>
    </row>
    <row r="91" spans="1:2" ht="15.75" customHeight="1">
      <c r="A91" s="93">
        <v>19511</v>
      </c>
      <c r="B91" s="94">
        <v>2.82</v>
      </c>
    </row>
    <row r="92" spans="1:2" ht="15.75" customHeight="1">
      <c r="A92" s="93">
        <v>19541</v>
      </c>
      <c r="B92" s="94">
        <v>2.82</v>
      </c>
    </row>
    <row r="93" spans="1:2" ht="15.75" customHeight="1">
      <c r="A93" s="93">
        <v>19572</v>
      </c>
      <c r="B93" s="94">
        <v>2.82</v>
      </c>
    </row>
    <row r="94" spans="1:2" ht="15.75" customHeight="1">
      <c r="A94" s="93">
        <v>19603</v>
      </c>
      <c r="B94" s="94">
        <v>2.82</v>
      </c>
    </row>
    <row r="95" spans="1:2" ht="15.75" customHeight="1">
      <c r="A95" s="93">
        <v>19633</v>
      </c>
      <c r="B95" s="94">
        <v>2.82</v>
      </c>
    </row>
    <row r="96" spans="1:2" ht="15.75" customHeight="1">
      <c r="A96" s="93">
        <v>19664</v>
      </c>
      <c r="B96" s="94">
        <v>2.82</v>
      </c>
    </row>
    <row r="97" spans="1:2" ht="15.75" customHeight="1">
      <c r="A97" s="93">
        <v>19694</v>
      </c>
      <c r="B97" s="94">
        <v>2.82</v>
      </c>
    </row>
    <row r="98" spans="1:2" ht="15.75" customHeight="1">
      <c r="A98" s="93">
        <v>19725</v>
      </c>
      <c r="B98" s="94">
        <v>2.82</v>
      </c>
    </row>
    <row r="99" spans="1:2" ht="15.75" customHeight="1">
      <c r="A99" s="93">
        <v>19756</v>
      </c>
      <c r="B99" s="94">
        <v>2.82</v>
      </c>
    </row>
    <row r="100" spans="1:2" ht="15.75" customHeight="1">
      <c r="A100" s="93">
        <v>19784</v>
      </c>
      <c r="B100" s="94">
        <v>2.82</v>
      </c>
    </row>
    <row r="101" spans="1:2" ht="15.75" customHeight="1">
      <c r="A101" s="93">
        <v>19815</v>
      </c>
      <c r="B101" s="94">
        <v>2.82</v>
      </c>
    </row>
    <row r="102" spans="1:2" ht="15.75" customHeight="1">
      <c r="A102" s="93">
        <v>19845</v>
      </c>
      <c r="B102" s="94">
        <v>2.82</v>
      </c>
    </row>
    <row r="103" spans="1:2" ht="15.75" customHeight="1">
      <c r="A103" s="93">
        <v>19876</v>
      </c>
      <c r="B103" s="94">
        <v>2.82</v>
      </c>
    </row>
    <row r="104" spans="1:2" ht="15.75" customHeight="1">
      <c r="A104" s="93">
        <v>19906</v>
      </c>
      <c r="B104" s="94">
        <v>2.82</v>
      </c>
    </row>
    <row r="105" spans="1:2" ht="15.75" customHeight="1">
      <c r="A105" s="93">
        <v>19937</v>
      </c>
      <c r="B105" s="94">
        <v>2.82</v>
      </c>
    </row>
    <row r="106" spans="1:2" ht="15.75" customHeight="1">
      <c r="A106" s="93">
        <v>19968</v>
      </c>
      <c r="B106" s="94">
        <v>2.82</v>
      </c>
    </row>
    <row r="107" spans="1:2" ht="15.75" customHeight="1">
      <c r="A107" s="93">
        <v>19998</v>
      </c>
      <c r="B107" s="94">
        <v>2.82</v>
      </c>
    </row>
    <row r="108" spans="1:2" ht="15.75" customHeight="1">
      <c r="A108" s="93">
        <v>20029</v>
      </c>
      <c r="B108" s="94">
        <v>2.82</v>
      </c>
    </row>
    <row r="109" spans="1:2" ht="15.75" customHeight="1">
      <c r="A109" s="93">
        <v>20059</v>
      </c>
      <c r="B109" s="94">
        <v>2.82</v>
      </c>
    </row>
    <row r="110" spans="1:2" ht="15.75" customHeight="1">
      <c r="A110" s="93">
        <v>20090</v>
      </c>
      <c r="B110" s="94">
        <v>2.82</v>
      </c>
    </row>
    <row r="111" spans="1:2" ht="15.75" customHeight="1">
      <c r="A111" s="93">
        <v>20121</v>
      </c>
      <c r="B111" s="94">
        <v>2.82</v>
      </c>
    </row>
    <row r="112" spans="1:2" ht="15.75" customHeight="1">
      <c r="A112" s="93">
        <v>20149</v>
      </c>
      <c r="B112" s="94">
        <v>2.82</v>
      </c>
    </row>
    <row r="113" spans="1:2" ht="15.75" customHeight="1">
      <c r="A113" s="93">
        <v>20180</v>
      </c>
      <c r="B113" s="94">
        <v>2.82</v>
      </c>
    </row>
    <row r="114" spans="1:2" ht="15.75" customHeight="1">
      <c r="A114" s="93">
        <v>20210</v>
      </c>
      <c r="B114" s="94">
        <v>2.82</v>
      </c>
    </row>
    <row r="115" spans="1:2" ht="15.75" customHeight="1">
      <c r="A115" s="93">
        <v>20241</v>
      </c>
      <c r="B115" s="94">
        <v>2.82</v>
      </c>
    </row>
    <row r="116" spans="1:2" ht="15.75" customHeight="1">
      <c r="A116" s="93">
        <v>20271</v>
      </c>
      <c r="B116" s="94">
        <v>2.82</v>
      </c>
    </row>
    <row r="117" spans="1:2" ht="15.75" customHeight="1">
      <c r="A117" s="93">
        <v>20302</v>
      </c>
      <c r="B117" s="94">
        <v>2.82</v>
      </c>
    </row>
    <row r="118" spans="1:2" ht="15.75" customHeight="1">
      <c r="A118" s="93">
        <v>20333</v>
      </c>
      <c r="B118" s="94">
        <v>2.82</v>
      </c>
    </row>
    <row r="119" spans="1:2" ht="15.75" customHeight="1">
      <c r="A119" s="93">
        <v>20363</v>
      </c>
      <c r="B119" s="94">
        <v>2.82</v>
      </c>
    </row>
    <row r="120" spans="1:2" ht="15.75" customHeight="1">
      <c r="A120" s="93">
        <v>20394</v>
      </c>
      <c r="B120" s="94">
        <v>2.82</v>
      </c>
    </row>
    <row r="121" spans="1:2" ht="15.75" customHeight="1">
      <c r="A121" s="93">
        <v>20424</v>
      </c>
      <c r="B121" s="94">
        <v>2.82</v>
      </c>
    </row>
    <row r="122" spans="1:2" ht="15.75" customHeight="1">
      <c r="A122" s="93">
        <v>20455</v>
      </c>
      <c r="B122" s="94">
        <v>2.82</v>
      </c>
    </row>
    <row r="123" spans="1:2" ht="15.75" customHeight="1">
      <c r="A123" s="93">
        <v>20486</v>
      </c>
      <c r="B123" s="94">
        <v>2.82</v>
      </c>
    </row>
    <row r="124" spans="1:2" ht="15.75" customHeight="1">
      <c r="A124" s="93">
        <v>20515</v>
      </c>
      <c r="B124" s="94">
        <v>2.82</v>
      </c>
    </row>
    <row r="125" spans="1:2" ht="15.75" customHeight="1">
      <c r="A125" s="93">
        <v>20546</v>
      </c>
      <c r="B125" s="94">
        <v>2.82</v>
      </c>
    </row>
    <row r="126" spans="1:2" ht="15.75" customHeight="1">
      <c r="A126" s="93">
        <v>20576</v>
      </c>
      <c r="B126" s="94">
        <v>2.82</v>
      </c>
    </row>
    <row r="127" spans="1:2" ht="15.75" customHeight="1">
      <c r="A127" s="93">
        <v>20607</v>
      </c>
      <c r="B127" s="94">
        <v>2.82</v>
      </c>
    </row>
    <row r="128" spans="1:2" ht="15.75" customHeight="1">
      <c r="A128" s="93">
        <v>20637</v>
      </c>
      <c r="B128" s="94">
        <v>2.82</v>
      </c>
    </row>
    <row r="129" spans="1:2" ht="15.75" customHeight="1">
      <c r="A129" s="93">
        <v>20668</v>
      </c>
      <c r="B129" s="94">
        <v>2.82</v>
      </c>
    </row>
    <row r="130" spans="1:2" ht="15.75" customHeight="1">
      <c r="A130" s="93">
        <v>20699</v>
      </c>
      <c r="B130" s="94">
        <v>2.82</v>
      </c>
    </row>
    <row r="131" spans="1:2" ht="15.75" customHeight="1">
      <c r="A131" s="93">
        <v>20729</v>
      </c>
      <c r="B131" s="94">
        <v>2.82</v>
      </c>
    </row>
    <row r="132" spans="1:2" ht="15.75" customHeight="1">
      <c r="A132" s="93">
        <v>20760</v>
      </c>
      <c r="B132" s="94">
        <v>2.82</v>
      </c>
    </row>
    <row r="133" spans="1:2" ht="15.75" customHeight="1">
      <c r="A133" s="93">
        <v>20790</v>
      </c>
      <c r="B133" s="94">
        <v>2.82</v>
      </c>
    </row>
    <row r="134" spans="1:2" ht="15.75" customHeight="1">
      <c r="A134" s="93">
        <v>20821</v>
      </c>
      <c r="B134" s="94">
        <v>2.82</v>
      </c>
    </row>
    <row r="135" spans="1:2" ht="15.75" customHeight="1">
      <c r="A135" s="93">
        <v>20852</v>
      </c>
      <c r="B135" s="94">
        <v>3.07</v>
      </c>
    </row>
    <row r="136" spans="1:2" ht="15.75" customHeight="1">
      <c r="A136" s="93">
        <v>20880</v>
      </c>
      <c r="B136" s="94">
        <v>3.07</v>
      </c>
    </row>
    <row r="137" spans="1:2" ht="15.75" customHeight="1">
      <c r="A137" s="93">
        <v>20911</v>
      </c>
      <c r="B137" s="94">
        <v>3.07</v>
      </c>
    </row>
    <row r="138" spans="1:2" ht="15.75" customHeight="1">
      <c r="A138" s="93">
        <v>20941</v>
      </c>
      <c r="B138" s="94">
        <v>3.07</v>
      </c>
    </row>
    <row r="139" spans="1:2" ht="15.75" customHeight="1">
      <c r="A139" s="93">
        <v>20972</v>
      </c>
      <c r="B139" s="94">
        <v>3.07</v>
      </c>
    </row>
    <row r="140" spans="1:2" ht="15.75" customHeight="1">
      <c r="A140" s="93">
        <v>21002</v>
      </c>
      <c r="B140" s="94">
        <v>3.07</v>
      </c>
    </row>
    <row r="141" spans="1:2" ht="15.75" customHeight="1">
      <c r="A141" s="93">
        <v>21033</v>
      </c>
      <c r="B141" s="94">
        <v>3.07</v>
      </c>
    </row>
    <row r="142" spans="1:2" ht="15.75" customHeight="1">
      <c r="A142" s="93">
        <v>21064</v>
      </c>
      <c r="B142" s="94">
        <v>3.07</v>
      </c>
    </row>
    <row r="143" spans="1:2" ht="15.75" customHeight="1">
      <c r="A143" s="93">
        <v>21094</v>
      </c>
      <c r="B143" s="94">
        <v>3.07</v>
      </c>
    </row>
    <row r="144" spans="1:2" ht="15.75" customHeight="1">
      <c r="A144" s="93">
        <v>21125</v>
      </c>
      <c r="B144" s="94">
        <v>3.07</v>
      </c>
    </row>
    <row r="145" spans="1:2" ht="15.75" customHeight="1">
      <c r="A145" s="93">
        <v>21155</v>
      </c>
      <c r="B145" s="94">
        <v>3</v>
      </c>
    </row>
    <row r="146" spans="1:2" ht="15.75" customHeight="1">
      <c r="A146" s="93">
        <v>21186</v>
      </c>
      <c r="B146" s="94">
        <v>3.07</v>
      </c>
    </row>
    <row r="147" spans="1:2" ht="15.75" customHeight="1">
      <c r="A147" s="93">
        <v>21217</v>
      </c>
      <c r="B147" s="94">
        <v>3.07</v>
      </c>
    </row>
    <row r="148" spans="1:2" ht="15.75" customHeight="1">
      <c r="A148" s="93">
        <v>21245</v>
      </c>
      <c r="B148" s="94">
        <v>3.07</v>
      </c>
    </row>
    <row r="149" spans="1:2" ht="15.75" customHeight="1">
      <c r="A149" s="93">
        <v>21276</v>
      </c>
      <c r="B149" s="94">
        <v>3.07</v>
      </c>
    </row>
    <row r="150" spans="1:2" ht="15.75" customHeight="1">
      <c r="A150" s="93">
        <v>21306</v>
      </c>
      <c r="B150" s="94">
        <v>3.07</v>
      </c>
    </row>
    <row r="151" spans="1:2" ht="15.75" customHeight="1">
      <c r="A151" s="93">
        <v>21337</v>
      </c>
      <c r="B151" s="94">
        <v>3.07</v>
      </c>
    </row>
    <row r="152" spans="1:2" ht="15.75" customHeight="1">
      <c r="A152" s="93">
        <v>21367</v>
      </c>
      <c r="B152" s="94">
        <v>3.07</v>
      </c>
    </row>
    <row r="153" spans="1:2" ht="15.75" customHeight="1">
      <c r="A153" s="93">
        <v>21398</v>
      </c>
      <c r="B153" s="94">
        <v>3.07</v>
      </c>
    </row>
    <row r="154" spans="1:2" ht="15.75" customHeight="1">
      <c r="A154" s="93">
        <v>21429</v>
      </c>
      <c r="B154" s="94">
        <v>3.07</v>
      </c>
    </row>
    <row r="155" spans="1:2" ht="15.75" customHeight="1">
      <c r="A155" s="93">
        <v>21459</v>
      </c>
      <c r="B155" s="94">
        <v>3.07</v>
      </c>
    </row>
    <row r="156" spans="1:2" ht="15.75" customHeight="1">
      <c r="A156" s="93">
        <v>21490</v>
      </c>
      <c r="B156" s="94">
        <v>3</v>
      </c>
    </row>
    <row r="157" spans="1:2" ht="15.75" customHeight="1">
      <c r="A157" s="93">
        <v>21520</v>
      </c>
      <c r="B157" s="94">
        <v>3</v>
      </c>
    </row>
    <row r="158" spans="1:2" ht="15.75" customHeight="1">
      <c r="A158" s="93">
        <v>21551</v>
      </c>
      <c r="B158" s="94">
        <v>3</v>
      </c>
    </row>
    <row r="159" spans="1:2" ht="15.75" customHeight="1">
      <c r="A159" s="93">
        <v>21582</v>
      </c>
      <c r="B159" s="94">
        <v>3</v>
      </c>
    </row>
    <row r="160" spans="1:2" ht="15.75" customHeight="1">
      <c r="A160" s="93">
        <v>21610</v>
      </c>
      <c r="B160" s="94">
        <v>2.97</v>
      </c>
    </row>
    <row r="161" spans="1:2" ht="15.75" customHeight="1">
      <c r="A161" s="93">
        <v>21641</v>
      </c>
      <c r="B161" s="94">
        <v>2.97</v>
      </c>
    </row>
    <row r="162" spans="1:2" ht="15.75" customHeight="1">
      <c r="A162" s="93">
        <v>21671</v>
      </c>
      <c r="B162" s="94">
        <v>2.97</v>
      </c>
    </row>
    <row r="163" spans="1:2" ht="15.75" customHeight="1">
      <c r="A163" s="93">
        <v>21702</v>
      </c>
      <c r="B163" s="94">
        <v>2.97</v>
      </c>
    </row>
    <row r="164" spans="1:2" ht="15.75" customHeight="1">
      <c r="A164" s="93">
        <v>21732</v>
      </c>
      <c r="B164" s="94">
        <v>2.97</v>
      </c>
    </row>
    <row r="165" spans="1:2" ht="15.75" customHeight="1">
      <c r="A165" s="93">
        <v>21763</v>
      </c>
      <c r="B165" s="94">
        <v>2.97</v>
      </c>
    </row>
    <row r="166" spans="1:2" ht="15.75" customHeight="1">
      <c r="A166" s="93">
        <v>21794</v>
      </c>
      <c r="B166" s="94">
        <v>2.97</v>
      </c>
    </row>
    <row r="167" spans="1:2" ht="15.75" customHeight="1">
      <c r="A167" s="93">
        <v>21824</v>
      </c>
      <c r="B167" s="94">
        <v>2.97</v>
      </c>
    </row>
    <row r="168" spans="1:2" ht="15.75" customHeight="1">
      <c r="A168" s="93">
        <v>21855</v>
      </c>
      <c r="B168" s="94">
        <v>2.97</v>
      </c>
    </row>
    <row r="169" spans="1:2" ht="15.75" customHeight="1">
      <c r="A169" s="93">
        <v>21885</v>
      </c>
      <c r="B169" s="94">
        <v>2.97</v>
      </c>
    </row>
    <row r="170" spans="1:2" ht="15.75" customHeight="1">
      <c r="A170" s="93">
        <v>21916</v>
      </c>
      <c r="B170" s="94">
        <v>2.97</v>
      </c>
    </row>
    <row r="171" spans="1:2" ht="15.75" customHeight="1">
      <c r="A171" s="93">
        <v>21947</v>
      </c>
      <c r="B171" s="94">
        <v>2.97</v>
      </c>
    </row>
    <row r="172" spans="1:2" ht="15.75" customHeight="1">
      <c r="A172" s="93">
        <v>21976</v>
      </c>
      <c r="B172" s="94">
        <v>2.97</v>
      </c>
    </row>
    <row r="173" spans="1:2" ht="15.75" customHeight="1">
      <c r="A173" s="93">
        <v>22007</v>
      </c>
      <c r="B173" s="94">
        <v>2.97</v>
      </c>
    </row>
    <row r="174" spans="1:2" ht="15.75" customHeight="1">
      <c r="A174" s="93">
        <v>22037</v>
      </c>
      <c r="B174" s="94">
        <v>2.97</v>
      </c>
    </row>
    <row r="175" spans="1:2" ht="15.75" customHeight="1">
      <c r="A175" s="93">
        <v>22068</v>
      </c>
      <c r="B175" s="94">
        <v>2.97</v>
      </c>
    </row>
    <row r="176" spans="1:2" ht="15.75" customHeight="1">
      <c r="A176" s="93">
        <v>22098</v>
      </c>
      <c r="B176" s="94">
        <v>2.97</v>
      </c>
    </row>
    <row r="177" spans="1:2" ht="15.75" customHeight="1">
      <c r="A177" s="93">
        <v>22129</v>
      </c>
      <c r="B177" s="94">
        <v>2.97</v>
      </c>
    </row>
    <row r="178" spans="1:2" ht="15.75" customHeight="1">
      <c r="A178" s="93">
        <v>22160</v>
      </c>
      <c r="B178" s="94">
        <v>2.97</v>
      </c>
    </row>
    <row r="179" spans="1:2" ht="15.75" customHeight="1">
      <c r="A179" s="93">
        <v>22190</v>
      </c>
      <c r="B179" s="94">
        <v>2.97</v>
      </c>
    </row>
    <row r="180" spans="1:2" ht="15.75" customHeight="1">
      <c r="A180" s="93">
        <v>22221</v>
      </c>
      <c r="B180" s="94">
        <v>2.97</v>
      </c>
    </row>
    <row r="181" spans="1:2" ht="15.75" customHeight="1">
      <c r="A181" s="93">
        <v>22251</v>
      </c>
      <c r="B181" s="94">
        <v>2.97</v>
      </c>
    </row>
    <row r="182" spans="1:2" ht="15.75" customHeight="1">
      <c r="A182" s="93">
        <v>22282</v>
      </c>
      <c r="B182" s="94">
        <v>2.97</v>
      </c>
    </row>
    <row r="183" spans="1:2" ht="15.75" customHeight="1">
      <c r="A183" s="93">
        <v>22313</v>
      </c>
      <c r="B183" s="94">
        <v>2.97</v>
      </c>
    </row>
    <row r="184" spans="1:2" ht="15.75" customHeight="1">
      <c r="A184" s="93">
        <v>22341</v>
      </c>
      <c r="B184" s="94">
        <v>2.97</v>
      </c>
    </row>
    <row r="185" spans="1:2" ht="15.75" customHeight="1">
      <c r="A185" s="93">
        <v>22372</v>
      </c>
      <c r="B185" s="94">
        <v>2.97</v>
      </c>
    </row>
    <row r="186" spans="1:2" ht="15.75" customHeight="1">
      <c r="A186" s="93">
        <v>22402</v>
      </c>
      <c r="B186" s="94">
        <v>2.97</v>
      </c>
    </row>
    <row r="187" spans="1:2" ht="15.75" customHeight="1">
      <c r="A187" s="93">
        <v>22433</v>
      </c>
      <c r="B187" s="94">
        <v>2.97</v>
      </c>
    </row>
    <row r="188" spans="1:2" ht="15.75" customHeight="1">
      <c r="A188" s="93">
        <v>22463</v>
      </c>
      <c r="B188" s="94">
        <v>2.97</v>
      </c>
    </row>
    <row r="189" spans="1:2" ht="15.75" customHeight="1">
      <c r="A189" s="93">
        <v>22494</v>
      </c>
      <c r="B189" s="94">
        <v>2.97</v>
      </c>
    </row>
    <row r="190" spans="1:2" ht="15.75" customHeight="1">
      <c r="A190" s="93">
        <v>22525</v>
      </c>
      <c r="B190" s="94">
        <v>2.97</v>
      </c>
    </row>
    <row r="191" spans="1:2" ht="15.75" customHeight="1">
      <c r="A191" s="93">
        <v>22555</v>
      </c>
      <c r="B191" s="94">
        <v>2.97</v>
      </c>
    </row>
    <row r="192" spans="1:2" ht="15.75" customHeight="1">
      <c r="A192" s="93">
        <v>22586</v>
      </c>
      <c r="B192" s="94">
        <v>2.97</v>
      </c>
    </row>
    <row r="193" spans="1:2" ht="15.75" customHeight="1">
      <c r="A193" s="93">
        <v>22616</v>
      </c>
      <c r="B193" s="94">
        <v>2.97</v>
      </c>
    </row>
    <row r="194" spans="1:2" ht="15.75" customHeight="1">
      <c r="A194" s="93">
        <v>22647</v>
      </c>
      <c r="B194" s="94">
        <v>2.97</v>
      </c>
    </row>
    <row r="195" spans="1:2" ht="15.75" customHeight="1">
      <c r="A195" s="93">
        <v>22678</v>
      </c>
      <c r="B195" s="94">
        <v>2.97</v>
      </c>
    </row>
    <row r="196" spans="1:2" ht="15.75" customHeight="1">
      <c r="A196" s="93">
        <v>22706</v>
      </c>
      <c r="B196" s="94">
        <v>2.97</v>
      </c>
    </row>
    <row r="197" spans="1:2" ht="15.75" customHeight="1">
      <c r="A197" s="93">
        <v>22737</v>
      </c>
      <c r="B197" s="94">
        <v>2.97</v>
      </c>
    </row>
    <row r="198" spans="1:2" ht="15.75" customHeight="1">
      <c r="A198" s="93">
        <v>22767</v>
      </c>
      <c r="B198" s="94">
        <v>2.97</v>
      </c>
    </row>
    <row r="199" spans="1:2" ht="15.75" customHeight="1">
      <c r="A199" s="93">
        <v>22798</v>
      </c>
      <c r="B199" s="94">
        <v>2.97</v>
      </c>
    </row>
    <row r="200" spans="1:2" ht="15.75" customHeight="1">
      <c r="A200" s="93">
        <v>22828</v>
      </c>
      <c r="B200" s="94">
        <v>2.97</v>
      </c>
    </row>
    <row r="201" spans="1:2" ht="15.75" customHeight="1">
      <c r="A201" s="93">
        <v>22859</v>
      </c>
      <c r="B201" s="94">
        <v>2.97</v>
      </c>
    </row>
    <row r="202" spans="1:2" ht="15.75" customHeight="1">
      <c r="A202" s="93">
        <v>22890</v>
      </c>
      <c r="B202" s="94">
        <v>2.97</v>
      </c>
    </row>
    <row r="203" spans="1:2" ht="15.75" customHeight="1">
      <c r="A203" s="93">
        <v>22920</v>
      </c>
      <c r="B203" s="94">
        <v>2.97</v>
      </c>
    </row>
    <row r="204" spans="1:2" ht="15.75" customHeight="1">
      <c r="A204" s="93">
        <v>22951</v>
      </c>
      <c r="B204" s="94">
        <v>2.97</v>
      </c>
    </row>
    <row r="205" spans="1:2" ht="15.75" customHeight="1">
      <c r="A205" s="93">
        <v>22981</v>
      </c>
      <c r="B205" s="94">
        <v>2.97</v>
      </c>
    </row>
    <row r="206" spans="1:2" ht="15.75" customHeight="1">
      <c r="A206" s="93">
        <v>23012</v>
      </c>
      <c r="B206" s="94">
        <v>2.97</v>
      </c>
    </row>
    <row r="207" spans="1:2" ht="15.75" customHeight="1">
      <c r="A207" s="93">
        <v>23043</v>
      </c>
      <c r="B207" s="94">
        <v>2.97</v>
      </c>
    </row>
    <row r="208" spans="1:2" ht="15.75" customHeight="1">
      <c r="A208" s="93">
        <v>23071</v>
      </c>
      <c r="B208" s="94">
        <v>2.97</v>
      </c>
    </row>
    <row r="209" spans="1:2" ht="15.75" customHeight="1">
      <c r="A209" s="93">
        <v>23102</v>
      </c>
      <c r="B209" s="94">
        <v>2.97</v>
      </c>
    </row>
    <row r="210" spans="1:2" ht="15.75" customHeight="1">
      <c r="A210" s="93">
        <v>23132</v>
      </c>
      <c r="B210" s="94">
        <v>2.97</v>
      </c>
    </row>
    <row r="211" spans="1:2" ht="15.75" customHeight="1">
      <c r="A211" s="93">
        <v>23163</v>
      </c>
      <c r="B211" s="94">
        <v>2.97</v>
      </c>
    </row>
    <row r="212" spans="1:2" ht="15.75" customHeight="1">
      <c r="A212" s="93">
        <v>23193</v>
      </c>
      <c r="B212" s="94">
        <v>2.97</v>
      </c>
    </row>
    <row r="213" spans="1:2" ht="15.75" customHeight="1">
      <c r="A213" s="93">
        <v>23224</v>
      </c>
      <c r="B213" s="94">
        <v>2.97</v>
      </c>
    </row>
    <row r="214" spans="1:2" ht="15.75" customHeight="1">
      <c r="A214" s="93">
        <v>23255</v>
      </c>
      <c r="B214" s="94">
        <v>2.97</v>
      </c>
    </row>
    <row r="215" spans="1:2" ht="15.75" customHeight="1">
      <c r="A215" s="93">
        <v>23285</v>
      </c>
      <c r="B215" s="94">
        <v>2.97</v>
      </c>
    </row>
    <row r="216" spans="1:2" ht="15.75" customHeight="1">
      <c r="A216" s="93">
        <v>23316</v>
      </c>
      <c r="B216" s="94">
        <v>2.97</v>
      </c>
    </row>
    <row r="217" spans="1:2" ht="15.75" customHeight="1">
      <c r="A217" s="93">
        <v>23346</v>
      </c>
      <c r="B217" s="94">
        <v>2.97</v>
      </c>
    </row>
    <row r="218" spans="1:2" ht="15.75" customHeight="1">
      <c r="A218" s="93">
        <v>23377</v>
      </c>
      <c r="B218" s="94">
        <v>2.97</v>
      </c>
    </row>
    <row r="219" spans="1:2" ht="15.75" customHeight="1">
      <c r="A219" s="93">
        <v>23408</v>
      </c>
      <c r="B219" s="94">
        <v>2.97</v>
      </c>
    </row>
    <row r="220" spans="1:2" ht="15.75" customHeight="1">
      <c r="A220" s="93">
        <v>23437</v>
      </c>
      <c r="B220" s="94">
        <v>2.97</v>
      </c>
    </row>
    <row r="221" spans="1:2" ht="15.75" customHeight="1">
      <c r="A221" s="93">
        <v>23468</v>
      </c>
      <c r="B221" s="94">
        <v>2.97</v>
      </c>
    </row>
    <row r="222" spans="1:2" ht="15.75" customHeight="1">
      <c r="A222" s="93">
        <v>23498</v>
      </c>
      <c r="B222" s="94">
        <v>2.97</v>
      </c>
    </row>
    <row r="223" spans="1:2" ht="15.75" customHeight="1">
      <c r="A223" s="93">
        <v>23529</v>
      </c>
      <c r="B223" s="94">
        <v>2.97</v>
      </c>
    </row>
    <row r="224" spans="1:2" ht="15.75" customHeight="1">
      <c r="A224" s="93">
        <v>23559</v>
      </c>
      <c r="B224" s="94">
        <v>2.92</v>
      </c>
    </row>
    <row r="225" spans="1:2" ht="15.75" customHeight="1">
      <c r="A225" s="93">
        <v>23590</v>
      </c>
      <c r="B225" s="94">
        <v>2.92</v>
      </c>
    </row>
    <row r="226" spans="1:2" ht="15.75" customHeight="1">
      <c r="A226" s="93">
        <v>23621</v>
      </c>
      <c r="B226" s="94">
        <v>2.92</v>
      </c>
    </row>
    <row r="227" spans="1:2" ht="15.75" customHeight="1">
      <c r="A227" s="93">
        <v>23651</v>
      </c>
      <c r="B227" s="94">
        <v>2.92</v>
      </c>
    </row>
    <row r="228" spans="1:2" ht="15.75" customHeight="1">
      <c r="A228" s="93">
        <v>23682</v>
      </c>
      <c r="B228" s="94">
        <v>2.92</v>
      </c>
    </row>
    <row r="229" spans="1:2" ht="15.75" customHeight="1">
      <c r="A229" s="93">
        <v>23712</v>
      </c>
      <c r="B229" s="94">
        <v>2.92</v>
      </c>
    </row>
    <row r="230" spans="1:2" ht="15.75" customHeight="1">
      <c r="A230" s="93">
        <v>23743</v>
      </c>
      <c r="B230" s="94">
        <v>2.92</v>
      </c>
    </row>
    <row r="231" spans="1:2" ht="15.75" customHeight="1">
      <c r="A231" s="93">
        <v>23774</v>
      </c>
      <c r="B231" s="94">
        <v>2.92</v>
      </c>
    </row>
    <row r="232" spans="1:2" ht="15.75" customHeight="1">
      <c r="A232" s="93">
        <v>23802</v>
      </c>
      <c r="B232" s="94">
        <v>2.92</v>
      </c>
    </row>
    <row r="233" spans="1:2" ht="15.75" customHeight="1">
      <c r="A233" s="93">
        <v>23833</v>
      </c>
      <c r="B233" s="94">
        <v>2.92</v>
      </c>
    </row>
    <row r="234" spans="1:2" ht="15.75" customHeight="1">
      <c r="A234" s="93">
        <v>23863</v>
      </c>
      <c r="B234" s="94">
        <v>2.92</v>
      </c>
    </row>
    <row r="235" spans="1:2" ht="15.75" customHeight="1">
      <c r="A235" s="93">
        <v>23894</v>
      </c>
      <c r="B235" s="94">
        <v>2.92</v>
      </c>
    </row>
    <row r="236" spans="1:2" ht="15.75" customHeight="1">
      <c r="A236" s="93">
        <v>23924</v>
      </c>
      <c r="B236" s="94">
        <v>2.92</v>
      </c>
    </row>
    <row r="237" spans="1:2" ht="15.75" customHeight="1">
      <c r="A237" s="93">
        <v>23955</v>
      </c>
      <c r="B237" s="94">
        <v>2.92</v>
      </c>
    </row>
    <row r="238" spans="1:2" ht="15.75" customHeight="1">
      <c r="A238" s="93">
        <v>23986</v>
      </c>
      <c r="B238" s="94">
        <v>2.92</v>
      </c>
    </row>
    <row r="239" spans="1:2" ht="15.75" customHeight="1">
      <c r="A239" s="93">
        <v>24016</v>
      </c>
      <c r="B239" s="94">
        <v>2.92</v>
      </c>
    </row>
    <row r="240" spans="1:2" ht="15.75" customHeight="1">
      <c r="A240" s="93">
        <v>24047</v>
      </c>
      <c r="B240" s="94">
        <v>2.92</v>
      </c>
    </row>
    <row r="241" spans="1:2" ht="15.75" customHeight="1">
      <c r="A241" s="93">
        <v>24077</v>
      </c>
      <c r="B241" s="94">
        <v>2.92</v>
      </c>
    </row>
    <row r="242" spans="1:2" ht="15.75" customHeight="1">
      <c r="A242" s="93">
        <v>24108</v>
      </c>
      <c r="B242" s="94">
        <v>2.92</v>
      </c>
    </row>
    <row r="243" spans="1:2" ht="15.75" customHeight="1">
      <c r="A243" s="93">
        <v>24139</v>
      </c>
      <c r="B243" s="94">
        <v>2.92</v>
      </c>
    </row>
    <row r="244" spans="1:2" ht="15.75" customHeight="1">
      <c r="A244" s="93">
        <v>24167</v>
      </c>
      <c r="B244" s="94">
        <v>2.92</v>
      </c>
    </row>
    <row r="245" spans="1:2" ht="15.75" customHeight="1">
      <c r="A245" s="93">
        <v>24198</v>
      </c>
      <c r="B245" s="94">
        <v>2.92</v>
      </c>
    </row>
    <row r="246" spans="1:2" ht="15.75" customHeight="1">
      <c r="A246" s="93">
        <v>24228</v>
      </c>
      <c r="B246" s="94">
        <v>2.92</v>
      </c>
    </row>
    <row r="247" spans="1:2" ht="15.75" customHeight="1">
      <c r="A247" s="93">
        <v>24259</v>
      </c>
      <c r="B247" s="94">
        <v>2.92</v>
      </c>
    </row>
    <row r="248" spans="1:2" ht="15.75" customHeight="1">
      <c r="A248" s="93">
        <v>24289</v>
      </c>
      <c r="B248" s="94">
        <v>2.92</v>
      </c>
    </row>
    <row r="249" spans="1:2" ht="15.75" customHeight="1">
      <c r="A249" s="93">
        <v>24320</v>
      </c>
      <c r="B249" s="94">
        <v>2.92</v>
      </c>
    </row>
    <row r="250" spans="1:2" ht="15.75" customHeight="1">
      <c r="A250" s="93">
        <v>24351</v>
      </c>
      <c r="B250" s="94">
        <v>2.97</v>
      </c>
    </row>
    <row r="251" spans="1:2" ht="15.75" customHeight="1">
      <c r="A251" s="93">
        <v>24381</v>
      </c>
      <c r="B251" s="94">
        <v>2.97</v>
      </c>
    </row>
    <row r="252" spans="1:2" ht="15.75" customHeight="1">
      <c r="A252" s="93">
        <v>24412</v>
      </c>
      <c r="B252" s="94">
        <v>2.97</v>
      </c>
    </row>
    <row r="253" spans="1:2" ht="15.75" customHeight="1">
      <c r="A253" s="93">
        <v>24442</v>
      </c>
      <c r="B253" s="94">
        <v>2.97</v>
      </c>
    </row>
    <row r="254" spans="1:2" ht="15.75" customHeight="1">
      <c r="A254" s="93">
        <v>24473</v>
      </c>
      <c r="B254" s="94">
        <v>2.97</v>
      </c>
    </row>
    <row r="255" spans="1:2" ht="15.75" customHeight="1">
      <c r="A255" s="93">
        <v>24504</v>
      </c>
      <c r="B255" s="94">
        <v>3</v>
      </c>
    </row>
    <row r="256" spans="1:2" ht="15.75" customHeight="1">
      <c r="A256" s="93">
        <v>24532</v>
      </c>
      <c r="B256" s="94">
        <v>3</v>
      </c>
    </row>
    <row r="257" spans="1:2" ht="15.75" customHeight="1">
      <c r="A257" s="93">
        <v>24563</v>
      </c>
      <c r="B257" s="94">
        <v>3</v>
      </c>
    </row>
    <row r="258" spans="1:2" ht="15.75" customHeight="1">
      <c r="A258" s="93">
        <v>24593</v>
      </c>
      <c r="B258" s="94">
        <v>3</v>
      </c>
    </row>
    <row r="259" spans="1:2" ht="15.75" customHeight="1">
      <c r="A259" s="93">
        <v>24624</v>
      </c>
      <c r="B259" s="94">
        <v>3</v>
      </c>
    </row>
    <row r="260" spans="1:2" ht="15.75" customHeight="1">
      <c r="A260" s="93">
        <v>24654</v>
      </c>
      <c r="B260" s="94">
        <v>3</v>
      </c>
    </row>
    <row r="261" spans="1:2" ht="15.75" customHeight="1">
      <c r="A261" s="93">
        <v>24685</v>
      </c>
      <c r="B261" s="94">
        <v>3.07</v>
      </c>
    </row>
    <row r="262" spans="1:2" ht="15.75" customHeight="1">
      <c r="A262" s="93">
        <v>24716</v>
      </c>
      <c r="B262" s="94">
        <v>3.07</v>
      </c>
    </row>
    <row r="263" spans="1:2" ht="15.75" customHeight="1">
      <c r="A263" s="93">
        <v>24746</v>
      </c>
      <c r="B263" s="94">
        <v>3.07</v>
      </c>
    </row>
    <row r="264" spans="1:2" ht="15.75" customHeight="1">
      <c r="A264" s="93">
        <v>24777</v>
      </c>
      <c r="B264" s="94">
        <v>3.07</v>
      </c>
    </row>
    <row r="265" spans="1:2" ht="15.75" customHeight="1">
      <c r="A265" s="93">
        <v>24807</v>
      </c>
      <c r="B265" s="94">
        <v>3.07</v>
      </c>
    </row>
    <row r="266" spans="1:2" ht="15.75" customHeight="1">
      <c r="A266" s="93">
        <v>24838</v>
      </c>
      <c r="B266" s="94">
        <v>3.07</v>
      </c>
    </row>
    <row r="267" spans="1:2" ht="15.75" customHeight="1">
      <c r="A267" s="93">
        <v>24869</v>
      </c>
      <c r="B267" s="94">
        <v>3.07</v>
      </c>
    </row>
    <row r="268" spans="1:2" ht="15.75" customHeight="1">
      <c r="A268" s="93">
        <v>24898</v>
      </c>
      <c r="B268" s="94">
        <v>3.07</v>
      </c>
    </row>
    <row r="269" spans="1:2" ht="15.75" customHeight="1">
      <c r="A269" s="93">
        <v>24929</v>
      </c>
      <c r="B269" s="94">
        <v>3.07</v>
      </c>
    </row>
    <row r="270" spans="1:2" ht="15.75" customHeight="1">
      <c r="A270" s="93">
        <v>24959</v>
      </c>
      <c r="B270" s="94">
        <v>3.07</v>
      </c>
    </row>
    <row r="271" spans="1:2" ht="15.75" customHeight="1">
      <c r="A271" s="93">
        <v>24990</v>
      </c>
      <c r="B271" s="94">
        <v>3.07</v>
      </c>
    </row>
    <row r="272" spans="1:2" ht="15.75" customHeight="1">
      <c r="A272" s="93">
        <v>25020</v>
      </c>
      <c r="B272" s="94">
        <v>3.07</v>
      </c>
    </row>
    <row r="273" spans="1:2" ht="15.75" customHeight="1">
      <c r="A273" s="93">
        <v>25051</v>
      </c>
      <c r="B273" s="94">
        <v>3.07</v>
      </c>
    </row>
    <row r="274" spans="1:2" ht="15.75" customHeight="1">
      <c r="A274" s="93">
        <v>25082</v>
      </c>
      <c r="B274" s="94">
        <v>3.07</v>
      </c>
    </row>
    <row r="275" spans="1:2" ht="15.75" customHeight="1">
      <c r="A275" s="93">
        <v>25112</v>
      </c>
      <c r="B275" s="94">
        <v>3.07</v>
      </c>
    </row>
    <row r="276" spans="1:2" ht="15.75" customHeight="1">
      <c r="A276" s="93">
        <v>25143</v>
      </c>
      <c r="B276" s="94">
        <v>3.07</v>
      </c>
    </row>
    <row r="277" spans="1:2" ht="15.75" customHeight="1">
      <c r="A277" s="93">
        <v>25173</v>
      </c>
      <c r="B277" s="94">
        <v>3.07</v>
      </c>
    </row>
    <row r="278" spans="1:2" ht="15.75" customHeight="1">
      <c r="A278" s="93">
        <v>25204</v>
      </c>
      <c r="B278" s="94">
        <v>3.07</v>
      </c>
    </row>
    <row r="279" spans="1:2" ht="15.75" customHeight="1">
      <c r="A279" s="93">
        <v>25235</v>
      </c>
      <c r="B279" s="94">
        <v>3.07</v>
      </c>
    </row>
    <row r="280" spans="1:2" ht="15.75" customHeight="1">
      <c r="A280" s="93">
        <v>25263</v>
      </c>
      <c r="B280" s="94">
        <v>3.25</v>
      </c>
    </row>
    <row r="281" spans="1:2" ht="15.75" customHeight="1">
      <c r="A281" s="93">
        <v>25294</v>
      </c>
      <c r="B281" s="94">
        <v>3.35</v>
      </c>
    </row>
    <row r="282" spans="1:2" ht="15.75" customHeight="1">
      <c r="A282" s="93">
        <v>25324</v>
      </c>
      <c r="B282" s="94">
        <v>3.35</v>
      </c>
    </row>
    <row r="283" spans="1:2" ht="15.75" customHeight="1">
      <c r="A283" s="93">
        <v>25355</v>
      </c>
      <c r="B283" s="94">
        <v>3.35</v>
      </c>
    </row>
    <row r="284" spans="1:2" ht="15.75" customHeight="1">
      <c r="A284" s="93">
        <v>25385</v>
      </c>
      <c r="B284" s="94">
        <v>3.35</v>
      </c>
    </row>
    <row r="285" spans="1:2" ht="15.75" customHeight="1">
      <c r="A285" s="93">
        <v>25416</v>
      </c>
      <c r="B285" s="94">
        <v>3.35</v>
      </c>
    </row>
    <row r="286" spans="1:2" ht="15.75" customHeight="1">
      <c r="A286" s="93">
        <v>25447</v>
      </c>
      <c r="B286" s="94">
        <v>3.35</v>
      </c>
    </row>
    <row r="287" spans="1:2" ht="15.75" customHeight="1">
      <c r="A287" s="93">
        <v>25477</v>
      </c>
      <c r="B287" s="94">
        <v>3.35</v>
      </c>
    </row>
    <row r="288" spans="1:2" ht="15.75" customHeight="1">
      <c r="A288" s="93">
        <v>25508</v>
      </c>
      <c r="B288" s="94">
        <v>3.35</v>
      </c>
    </row>
    <row r="289" spans="1:2" ht="15.75" customHeight="1">
      <c r="A289" s="93">
        <v>25538</v>
      </c>
      <c r="B289" s="94">
        <v>3.35</v>
      </c>
    </row>
    <row r="290" spans="1:2" ht="15.75" customHeight="1">
      <c r="A290" s="93">
        <v>25569</v>
      </c>
      <c r="B290" s="94">
        <v>3.35</v>
      </c>
    </row>
    <row r="291" spans="1:2" ht="15.75" customHeight="1">
      <c r="A291" s="93">
        <v>25600</v>
      </c>
      <c r="B291" s="94">
        <v>3.35</v>
      </c>
    </row>
    <row r="292" spans="1:2" ht="15.75" customHeight="1">
      <c r="A292" s="93">
        <v>25628</v>
      </c>
      <c r="B292" s="94">
        <v>3.35</v>
      </c>
    </row>
    <row r="293" spans="1:2" ht="15.75" customHeight="1">
      <c r="A293" s="93">
        <v>25659</v>
      </c>
      <c r="B293" s="94">
        <v>3.35</v>
      </c>
    </row>
    <row r="294" spans="1:2" ht="15.75" customHeight="1">
      <c r="A294" s="93">
        <v>25689</v>
      </c>
      <c r="B294" s="94">
        <v>3.35</v>
      </c>
    </row>
    <row r="295" spans="1:2" ht="15.75" customHeight="1">
      <c r="A295" s="93">
        <v>25720</v>
      </c>
      <c r="B295" s="94">
        <v>3.35</v>
      </c>
    </row>
    <row r="296" spans="1:2" ht="15.75" customHeight="1">
      <c r="A296" s="93">
        <v>25750</v>
      </c>
      <c r="B296" s="94">
        <v>3.31</v>
      </c>
    </row>
    <row r="297" spans="1:2" ht="15.75" customHeight="1">
      <c r="A297" s="93">
        <v>25781</v>
      </c>
      <c r="B297" s="94">
        <v>3.31</v>
      </c>
    </row>
    <row r="298" spans="1:2" ht="15.75" customHeight="1">
      <c r="A298" s="93">
        <v>25812</v>
      </c>
      <c r="B298" s="94">
        <v>3.31</v>
      </c>
    </row>
    <row r="299" spans="1:2" ht="15.75" customHeight="1">
      <c r="A299" s="93">
        <v>25842</v>
      </c>
      <c r="B299" s="94">
        <v>3.31</v>
      </c>
    </row>
    <row r="300" spans="1:2" ht="15.75" customHeight="1">
      <c r="A300" s="93">
        <v>25873</v>
      </c>
      <c r="B300" s="94">
        <v>3.31</v>
      </c>
    </row>
    <row r="301" spans="1:2" ht="15.75" customHeight="1">
      <c r="A301" s="93">
        <v>25903</v>
      </c>
      <c r="B301" s="94">
        <v>3.56</v>
      </c>
    </row>
    <row r="302" spans="1:2" ht="15.75" customHeight="1">
      <c r="A302" s="93">
        <v>25934</v>
      </c>
      <c r="B302" s="94">
        <v>3.56</v>
      </c>
    </row>
    <row r="303" spans="1:2" ht="15.75" customHeight="1">
      <c r="A303" s="93">
        <v>25965</v>
      </c>
      <c r="B303" s="94">
        <v>3.56</v>
      </c>
    </row>
    <row r="304" spans="1:2" ht="15.75" customHeight="1">
      <c r="A304" s="93">
        <v>25993</v>
      </c>
      <c r="B304" s="94">
        <v>3.56</v>
      </c>
    </row>
    <row r="305" spans="1:2" ht="15.75" customHeight="1">
      <c r="A305" s="93">
        <v>26024</v>
      </c>
      <c r="B305" s="94">
        <v>3.56</v>
      </c>
    </row>
    <row r="306" spans="1:2" ht="15.75" customHeight="1">
      <c r="A306" s="93">
        <v>26054</v>
      </c>
      <c r="B306" s="94">
        <v>3.56</v>
      </c>
    </row>
    <row r="307" spans="1:2" ht="15.75" customHeight="1">
      <c r="A307" s="93">
        <v>26085</v>
      </c>
      <c r="B307" s="94">
        <v>3.56</v>
      </c>
    </row>
    <row r="308" spans="1:2" ht="15.75" customHeight="1">
      <c r="A308" s="93">
        <v>26115</v>
      </c>
      <c r="B308" s="94">
        <v>3.56</v>
      </c>
    </row>
    <row r="309" spans="1:2" ht="15.75" customHeight="1">
      <c r="A309" s="93">
        <v>26146</v>
      </c>
      <c r="B309" s="94">
        <v>3.56</v>
      </c>
    </row>
    <row r="310" spans="1:2" ht="15.75" customHeight="1">
      <c r="A310" s="93">
        <v>26177</v>
      </c>
      <c r="B310" s="94">
        <v>3.56</v>
      </c>
    </row>
    <row r="311" spans="1:2" ht="15.75" customHeight="1">
      <c r="A311" s="93">
        <v>26207</v>
      </c>
      <c r="B311" s="94">
        <v>3.56</v>
      </c>
    </row>
    <row r="312" spans="1:2" ht="15.75" customHeight="1">
      <c r="A312" s="93">
        <v>26238</v>
      </c>
      <c r="B312" s="94">
        <v>3.56</v>
      </c>
    </row>
    <row r="313" spans="1:2" ht="15.75" customHeight="1">
      <c r="A313" s="93">
        <v>26268</v>
      </c>
      <c r="B313" s="94">
        <v>3.56</v>
      </c>
    </row>
    <row r="314" spans="1:2" ht="15.75" customHeight="1">
      <c r="A314" s="93">
        <v>26299</v>
      </c>
      <c r="B314" s="94">
        <v>3.56</v>
      </c>
    </row>
    <row r="315" spans="1:2" ht="15.75" customHeight="1">
      <c r="A315" s="93">
        <v>26330</v>
      </c>
      <c r="B315" s="94">
        <v>3.56</v>
      </c>
    </row>
    <row r="316" spans="1:2" ht="15.75" customHeight="1">
      <c r="A316" s="93">
        <v>26359</v>
      </c>
      <c r="B316" s="94">
        <v>3.56</v>
      </c>
    </row>
    <row r="317" spans="1:2" ht="15.75" customHeight="1">
      <c r="A317" s="93">
        <v>26390</v>
      </c>
      <c r="B317" s="94">
        <v>3.56</v>
      </c>
    </row>
    <row r="318" spans="1:2" ht="15.75" customHeight="1">
      <c r="A318" s="93">
        <v>26420</v>
      </c>
      <c r="B318" s="94">
        <v>3.56</v>
      </c>
    </row>
    <row r="319" spans="1:2" ht="15.75" customHeight="1">
      <c r="A319" s="93">
        <v>26451</v>
      </c>
      <c r="B319" s="94">
        <v>3.56</v>
      </c>
    </row>
    <row r="320" spans="1:2" ht="15.75" customHeight="1">
      <c r="A320" s="93">
        <v>26481</v>
      </c>
      <c r="B320" s="94">
        <v>3.56</v>
      </c>
    </row>
    <row r="321" spans="1:2" ht="15.75" customHeight="1">
      <c r="A321" s="93">
        <v>26512</v>
      </c>
      <c r="B321" s="94">
        <v>3.56</v>
      </c>
    </row>
    <row r="322" spans="1:2" ht="15.75" customHeight="1">
      <c r="A322" s="93">
        <v>26543</v>
      </c>
      <c r="B322" s="94">
        <v>3.56</v>
      </c>
    </row>
    <row r="323" spans="1:2" ht="15.75" customHeight="1">
      <c r="A323" s="93">
        <v>26573</v>
      </c>
      <c r="B323" s="94">
        <v>3.56</v>
      </c>
    </row>
    <row r="324" spans="1:2" ht="15.75" customHeight="1">
      <c r="A324" s="93">
        <v>26604</v>
      </c>
      <c r="B324" s="94">
        <v>3.56</v>
      </c>
    </row>
    <row r="325" spans="1:2" ht="15.75" customHeight="1">
      <c r="A325" s="93">
        <v>26634</v>
      </c>
      <c r="B325" s="94">
        <v>3.56</v>
      </c>
    </row>
    <row r="326" spans="1:2" ht="15.75" customHeight="1">
      <c r="A326" s="93">
        <v>26665</v>
      </c>
      <c r="B326" s="94">
        <v>3.56</v>
      </c>
    </row>
    <row r="327" spans="1:2" ht="15.75" customHeight="1">
      <c r="A327" s="93">
        <v>26696</v>
      </c>
      <c r="B327" s="94">
        <v>3.56</v>
      </c>
    </row>
    <row r="328" spans="1:2" ht="15.75" customHeight="1">
      <c r="A328" s="93">
        <v>26724</v>
      </c>
      <c r="B328" s="94">
        <v>3.56</v>
      </c>
    </row>
    <row r="329" spans="1:2" ht="15.75" customHeight="1">
      <c r="A329" s="93">
        <v>26755</v>
      </c>
      <c r="B329" s="94">
        <v>3.56</v>
      </c>
    </row>
    <row r="330" spans="1:2" ht="15.75" customHeight="1">
      <c r="A330" s="93">
        <v>26785</v>
      </c>
      <c r="B330" s="94">
        <v>3.56</v>
      </c>
    </row>
    <row r="331" spans="1:2" ht="15.75" customHeight="1">
      <c r="A331" s="93">
        <v>26816</v>
      </c>
      <c r="B331" s="94">
        <v>3.56</v>
      </c>
    </row>
    <row r="332" spans="1:2" ht="15.75" customHeight="1">
      <c r="A332" s="93">
        <v>26846</v>
      </c>
      <c r="B332" s="94">
        <v>3.56</v>
      </c>
    </row>
    <row r="333" spans="1:2" ht="15.75" customHeight="1">
      <c r="A333" s="93">
        <v>26877</v>
      </c>
      <c r="B333" s="94">
        <v>4.3099999999999996</v>
      </c>
    </row>
    <row r="334" spans="1:2" ht="15.75" customHeight="1">
      <c r="A334" s="93">
        <v>26908</v>
      </c>
      <c r="B334" s="94">
        <v>4.3099999999999996</v>
      </c>
    </row>
    <row r="335" spans="1:2" ht="15.75" customHeight="1">
      <c r="A335" s="93">
        <v>26938</v>
      </c>
      <c r="B335" s="94">
        <v>4.3099999999999996</v>
      </c>
    </row>
    <row r="336" spans="1:2" ht="15.75" customHeight="1">
      <c r="A336" s="93">
        <v>26969</v>
      </c>
      <c r="B336" s="94">
        <v>4.3099999999999996</v>
      </c>
    </row>
    <row r="337" spans="1:2" ht="15.75" customHeight="1">
      <c r="A337" s="93">
        <v>26999</v>
      </c>
      <c r="B337" s="94">
        <v>4.3099999999999996</v>
      </c>
    </row>
    <row r="338" spans="1:2" ht="15.75" customHeight="1">
      <c r="A338" s="93">
        <v>27030</v>
      </c>
      <c r="B338" s="94">
        <v>10.11</v>
      </c>
    </row>
    <row r="339" spans="1:2" ht="15.75" customHeight="1">
      <c r="A339" s="93">
        <v>27061</v>
      </c>
      <c r="B339" s="94">
        <v>10.11</v>
      </c>
    </row>
    <row r="340" spans="1:2" ht="15.75" customHeight="1">
      <c r="A340" s="93">
        <v>27089</v>
      </c>
      <c r="B340" s="94">
        <v>10.11</v>
      </c>
    </row>
    <row r="341" spans="1:2" ht="15.75" customHeight="1">
      <c r="A341" s="93">
        <v>27120</v>
      </c>
      <c r="B341" s="94">
        <v>10.11</v>
      </c>
    </row>
    <row r="342" spans="1:2" ht="15.75" customHeight="1">
      <c r="A342" s="93">
        <v>27150</v>
      </c>
      <c r="B342" s="94">
        <v>10.11</v>
      </c>
    </row>
    <row r="343" spans="1:2" ht="15.75" customHeight="1">
      <c r="A343" s="93">
        <v>27181</v>
      </c>
      <c r="B343" s="94">
        <v>10.11</v>
      </c>
    </row>
    <row r="344" spans="1:2" ht="15.75" customHeight="1">
      <c r="A344" s="93">
        <v>27211</v>
      </c>
      <c r="B344" s="94">
        <v>10.11</v>
      </c>
    </row>
    <row r="345" spans="1:2" ht="15.75" customHeight="1">
      <c r="A345" s="93">
        <v>27242</v>
      </c>
      <c r="B345" s="94">
        <v>10.11</v>
      </c>
    </row>
    <row r="346" spans="1:2" ht="15.75" customHeight="1">
      <c r="A346" s="93">
        <v>27273</v>
      </c>
      <c r="B346" s="94">
        <v>10.11</v>
      </c>
    </row>
    <row r="347" spans="1:2" ht="15.75" customHeight="1">
      <c r="A347" s="93">
        <v>27303</v>
      </c>
      <c r="B347" s="94">
        <v>11.16</v>
      </c>
    </row>
    <row r="348" spans="1:2" ht="15.75" customHeight="1">
      <c r="A348" s="93">
        <v>27334</v>
      </c>
      <c r="B348" s="94">
        <v>11.16</v>
      </c>
    </row>
    <row r="349" spans="1:2" ht="15.75" customHeight="1">
      <c r="A349" s="93">
        <v>27364</v>
      </c>
      <c r="B349" s="94">
        <v>11.16</v>
      </c>
    </row>
    <row r="350" spans="1:2" ht="15.75" customHeight="1">
      <c r="A350" s="93">
        <v>27395</v>
      </c>
      <c r="B350" s="94">
        <v>11.16</v>
      </c>
    </row>
    <row r="351" spans="1:2" ht="15.75" customHeight="1">
      <c r="A351" s="93">
        <v>27426</v>
      </c>
      <c r="B351" s="94">
        <v>11.16</v>
      </c>
    </row>
    <row r="352" spans="1:2" ht="15.75" customHeight="1">
      <c r="A352" s="93">
        <v>27454</v>
      </c>
      <c r="B352" s="94">
        <v>11.16</v>
      </c>
    </row>
    <row r="353" spans="1:2" ht="15.75" customHeight="1">
      <c r="A353" s="93">
        <v>27485</v>
      </c>
      <c r="B353" s="94">
        <v>11.16</v>
      </c>
    </row>
    <row r="354" spans="1:2" ht="15.75" customHeight="1">
      <c r="A354" s="93">
        <v>27515</v>
      </c>
      <c r="B354" s="94">
        <v>11.16</v>
      </c>
    </row>
    <row r="355" spans="1:2" ht="15.75" customHeight="1">
      <c r="A355" s="93">
        <v>27546</v>
      </c>
      <c r="B355" s="94">
        <v>11.16</v>
      </c>
    </row>
    <row r="356" spans="1:2" ht="15.75" customHeight="1">
      <c r="A356" s="93">
        <v>27576</v>
      </c>
      <c r="B356" s="94">
        <v>11.16</v>
      </c>
    </row>
    <row r="357" spans="1:2" ht="15.75" customHeight="1">
      <c r="A357" s="93">
        <v>27607</v>
      </c>
      <c r="B357" s="94">
        <v>11.16</v>
      </c>
    </row>
    <row r="358" spans="1:2" ht="15.75" customHeight="1">
      <c r="A358" s="93">
        <v>27638</v>
      </c>
      <c r="B358" s="94">
        <v>11.16</v>
      </c>
    </row>
    <row r="359" spans="1:2" ht="15.75" customHeight="1">
      <c r="A359" s="93">
        <v>27668</v>
      </c>
      <c r="B359" s="94">
        <v>11.16</v>
      </c>
    </row>
    <row r="360" spans="1:2" ht="15.75" customHeight="1">
      <c r="A360" s="93">
        <v>27699</v>
      </c>
      <c r="B360" s="94">
        <v>11.16</v>
      </c>
    </row>
    <row r="361" spans="1:2" ht="15.75" customHeight="1">
      <c r="A361" s="93">
        <v>27729</v>
      </c>
      <c r="B361" s="94">
        <v>11.16</v>
      </c>
    </row>
    <row r="362" spans="1:2" ht="15.75" customHeight="1">
      <c r="A362" s="93">
        <v>27760</v>
      </c>
      <c r="B362" s="94">
        <v>11.16</v>
      </c>
    </row>
    <row r="363" spans="1:2" ht="15.75" customHeight="1">
      <c r="A363" s="93">
        <v>27791</v>
      </c>
      <c r="B363" s="94">
        <v>12.03</v>
      </c>
    </row>
    <row r="364" spans="1:2" ht="15.75" customHeight="1">
      <c r="A364" s="93">
        <v>27820</v>
      </c>
      <c r="B364" s="94">
        <v>12.1</v>
      </c>
    </row>
    <row r="365" spans="1:2" ht="15.75" customHeight="1">
      <c r="A365" s="93">
        <v>27851</v>
      </c>
      <c r="B365" s="94">
        <v>12.17</v>
      </c>
    </row>
    <row r="366" spans="1:2" ht="15.75" customHeight="1">
      <c r="A366" s="93">
        <v>27881</v>
      </c>
      <c r="B366" s="94">
        <v>12.17</v>
      </c>
    </row>
    <row r="367" spans="1:2" ht="15.75" customHeight="1">
      <c r="A367" s="93">
        <v>27912</v>
      </c>
      <c r="B367" s="94">
        <v>12.17</v>
      </c>
    </row>
    <row r="368" spans="1:2" ht="15.75" customHeight="1">
      <c r="A368" s="93">
        <v>27942</v>
      </c>
      <c r="B368" s="94">
        <v>12.17</v>
      </c>
    </row>
    <row r="369" spans="1:2" ht="15.75" customHeight="1">
      <c r="A369" s="93">
        <v>27973</v>
      </c>
      <c r="B369" s="94">
        <v>12.17</v>
      </c>
    </row>
    <row r="370" spans="1:2" ht="15.75" customHeight="1">
      <c r="A370" s="93">
        <v>28004</v>
      </c>
      <c r="B370" s="94">
        <v>13.9</v>
      </c>
    </row>
    <row r="371" spans="1:2" ht="15.75" customHeight="1">
      <c r="A371" s="93">
        <v>28034</v>
      </c>
      <c r="B371" s="94">
        <v>13.9</v>
      </c>
    </row>
    <row r="372" spans="1:2" ht="15.75" customHeight="1">
      <c r="A372" s="93">
        <v>28065</v>
      </c>
      <c r="B372" s="94">
        <v>13.9</v>
      </c>
    </row>
    <row r="373" spans="1:2" ht="15.75" customHeight="1">
      <c r="A373" s="93">
        <v>28095</v>
      </c>
      <c r="B373" s="94">
        <v>13.9</v>
      </c>
    </row>
    <row r="374" spans="1:2" ht="15.75" customHeight="1">
      <c r="A374" s="93">
        <v>28126</v>
      </c>
      <c r="B374" s="94">
        <v>13.9</v>
      </c>
    </row>
    <row r="375" spans="1:2" ht="15.75" customHeight="1">
      <c r="A375" s="93">
        <v>28157</v>
      </c>
      <c r="B375" s="94">
        <v>13.9</v>
      </c>
    </row>
    <row r="376" spans="1:2" ht="15.75" customHeight="1">
      <c r="A376" s="93">
        <v>28185</v>
      </c>
      <c r="B376" s="94">
        <v>13.9</v>
      </c>
    </row>
    <row r="377" spans="1:2" ht="15.75" customHeight="1">
      <c r="A377" s="93">
        <v>28216</v>
      </c>
      <c r="B377" s="94">
        <v>13.9</v>
      </c>
    </row>
    <row r="378" spans="1:2" ht="15.75" customHeight="1">
      <c r="A378" s="93">
        <v>28246</v>
      </c>
      <c r="B378" s="94">
        <v>13.9</v>
      </c>
    </row>
    <row r="379" spans="1:2" ht="15.75" customHeight="1">
      <c r="A379" s="93">
        <v>28277</v>
      </c>
      <c r="B379" s="94">
        <v>13.9</v>
      </c>
    </row>
    <row r="380" spans="1:2" ht="15.75" customHeight="1">
      <c r="A380" s="93">
        <v>28307</v>
      </c>
      <c r="B380" s="94">
        <v>13.9</v>
      </c>
    </row>
    <row r="381" spans="1:2" ht="15.75" customHeight="1">
      <c r="A381" s="93">
        <v>28338</v>
      </c>
      <c r="B381" s="94">
        <v>14.85</v>
      </c>
    </row>
    <row r="382" spans="1:2" ht="15.75" customHeight="1">
      <c r="A382" s="93">
        <v>28369</v>
      </c>
      <c r="B382" s="94">
        <v>14.85</v>
      </c>
    </row>
    <row r="383" spans="1:2" ht="15.75" customHeight="1">
      <c r="A383" s="93">
        <v>28399</v>
      </c>
      <c r="B383" s="94">
        <v>14.85</v>
      </c>
    </row>
    <row r="384" spans="1:2" ht="15.75" customHeight="1">
      <c r="A384" s="93">
        <v>28430</v>
      </c>
      <c r="B384" s="94">
        <v>14.85</v>
      </c>
    </row>
    <row r="385" spans="1:2" ht="15.75" customHeight="1">
      <c r="A385" s="93">
        <v>28460</v>
      </c>
      <c r="B385" s="94">
        <v>14.85</v>
      </c>
    </row>
    <row r="386" spans="1:2" ht="15.75" customHeight="1">
      <c r="A386" s="93">
        <v>28491</v>
      </c>
      <c r="B386" s="94">
        <v>14.85</v>
      </c>
    </row>
    <row r="387" spans="1:2" ht="15.75" customHeight="1">
      <c r="A387" s="93">
        <v>28522</v>
      </c>
      <c r="B387" s="94">
        <v>14.85</v>
      </c>
    </row>
    <row r="388" spans="1:2" ht="15.75" customHeight="1">
      <c r="A388" s="93">
        <v>28550</v>
      </c>
      <c r="B388" s="94">
        <v>14.85</v>
      </c>
    </row>
    <row r="389" spans="1:2" ht="15.75" customHeight="1">
      <c r="A389" s="93">
        <v>28581</v>
      </c>
      <c r="B389" s="94">
        <v>14.85</v>
      </c>
    </row>
    <row r="390" spans="1:2" ht="15.75" customHeight="1">
      <c r="A390" s="93">
        <v>28611</v>
      </c>
      <c r="B390" s="94">
        <v>14.85</v>
      </c>
    </row>
    <row r="391" spans="1:2" ht="15.75" customHeight="1">
      <c r="A391" s="93">
        <v>28642</v>
      </c>
      <c r="B391" s="94">
        <v>14.85</v>
      </c>
    </row>
    <row r="392" spans="1:2" ht="15.75" customHeight="1">
      <c r="A392" s="93">
        <v>28672</v>
      </c>
      <c r="B392" s="94">
        <v>14.85</v>
      </c>
    </row>
    <row r="393" spans="1:2" ht="15.75" customHeight="1">
      <c r="A393" s="93">
        <v>28703</v>
      </c>
      <c r="B393" s="94">
        <v>14.85</v>
      </c>
    </row>
    <row r="394" spans="1:2" ht="15.75" customHeight="1">
      <c r="A394" s="93">
        <v>28734</v>
      </c>
      <c r="B394" s="94">
        <v>14.85</v>
      </c>
    </row>
    <row r="395" spans="1:2" ht="15.75" customHeight="1">
      <c r="A395" s="93">
        <v>28764</v>
      </c>
      <c r="B395" s="94">
        <v>14.85</v>
      </c>
    </row>
    <row r="396" spans="1:2" ht="15.75" customHeight="1">
      <c r="A396" s="93">
        <v>28795</v>
      </c>
      <c r="B396" s="94">
        <v>14.85</v>
      </c>
    </row>
    <row r="397" spans="1:2" ht="15.75" customHeight="1">
      <c r="A397" s="93">
        <v>28825</v>
      </c>
      <c r="B397" s="94">
        <v>14.85</v>
      </c>
    </row>
    <row r="398" spans="1:2" ht="15.75" customHeight="1">
      <c r="A398" s="93">
        <v>28856</v>
      </c>
      <c r="B398" s="94">
        <v>14.85</v>
      </c>
    </row>
    <row r="399" spans="1:2" ht="15.75" customHeight="1">
      <c r="A399" s="93">
        <v>28887</v>
      </c>
      <c r="B399" s="94">
        <v>15.85</v>
      </c>
    </row>
    <row r="400" spans="1:2" ht="15.75" customHeight="1">
      <c r="A400" s="93">
        <v>28915</v>
      </c>
      <c r="B400" s="94">
        <v>15.85</v>
      </c>
    </row>
    <row r="401" spans="1:2" ht="15.75" customHeight="1">
      <c r="A401" s="93">
        <v>28946</v>
      </c>
      <c r="B401" s="94">
        <v>15.85</v>
      </c>
    </row>
    <row r="402" spans="1:2" ht="15.75" customHeight="1">
      <c r="A402" s="93">
        <v>28976</v>
      </c>
      <c r="B402" s="94">
        <v>18.100000000000001</v>
      </c>
    </row>
    <row r="403" spans="1:2" ht="15.75" customHeight="1">
      <c r="A403" s="93">
        <v>29007</v>
      </c>
      <c r="B403" s="94">
        <v>19.100000000000001</v>
      </c>
    </row>
    <row r="404" spans="1:2" ht="15.75" customHeight="1">
      <c r="A404" s="93">
        <v>29037</v>
      </c>
      <c r="B404" s="94">
        <v>21.75</v>
      </c>
    </row>
    <row r="405" spans="1:2" ht="15.75" customHeight="1">
      <c r="A405" s="93">
        <v>29068</v>
      </c>
      <c r="B405" s="94">
        <v>26.5</v>
      </c>
    </row>
    <row r="406" spans="1:2" ht="15.75" customHeight="1">
      <c r="A406" s="93">
        <v>29099</v>
      </c>
      <c r="B406" s="94">
        <v>28.5</v>
      </c>
    </row>
    <row r="407" spans="1:2" ht="15.75" customHeight="1">
      <c r="A407" s="93">
        <v>29129</v>
      </c>
      <c r="B407" s="94">
        <v>29</v>
      </c>
    </row>
    <row r="408" spans="1:2" ht="15.75" customHeight="1">
      <c r="A408" s="93">
        <v>29160</v>
      </c>
      <c r="B408" s="94">
        <v>31</v>
      </c>
    </row>
    <row r="409" spans="1:2" ht="15.75" customHeight="1">
      <c r="A409" s="93">
        <v>29190</v>
      </c>
      <c r="B409" s="94">
        <v>32.5</v>
      </c>
    </row>
    <row r="410" spans="1:2" ht="15.75" customHeight="1">
      <c r="A410" s="93">
        <v>29221</v>
      </c>
      <c r="B410" s="94">
        <v>32.5</v>
      </c>
    </row>
    <row r="411" spans="1:2" ht="15.75" customHeight="1">
      <c r="A411" s="93">
        <v>29252</v>
      </c>
      <c r="B411" s="94">
        <v>37</v>
      </c>
    </row>
    <row r="412" spans="1:2" ht="15.75" customHeight="1">
      <c r="A412" s="93">
        <v>29281</v>
      </c>
      <c r="B412" s="94">
        <v>38</v>
      </c>
    </row>
    <row r="413" spans="1:2" ht="15.75" customHeight="1">
      <c r="A413" s="93">
        <v>29312</v>
      </c>
      <c r="B413" s="94">
        <v>39.5</v>
      </c>
    </row>
    <row r="414" spans="1:2" ht="15.75" customHeight="1">
      <c r="A414" s="93">
        <v>29342</v>
      </c>
      <c r="B414" s="94">
        <v>39.5</v>
      </c>
    </row>
    <row r="415" spans="1:2" ht="15.75" customHeight="1">
      <c r="A415" s="93">
        <v>29373</v>
      </c>
      <c r="B415" s="94">
        <v>39.5</v>
      </c>
    </row>
    <row r="416" spans="1:2" ht="15.75" customHeight="1">
      <c r="A416" s="93">
        <v>29403</v>
      </c>
      <c r="B416" s="94">
        <v>39.5</v>
      </c>
    </row>
    <row r="417" spans="1:2" ht="15.75" customHeight="1">
      <c r="A417" s="93">
        <v>29434</v>
      </c>
      <c r="B417" s="94">
        <v>38</v>
      </c>
    </row>
    <row r="418" spans="1:2" ht="15.75" customHeight="1">
      <c r="A418" s="93">
        <v>29465</v>
      </c>
      <c r="B418" s="94">
        <v>36</v>
      </c>
    </row>
    <row r="419" spans="1:2" ht="15.75" customHeight="1">
      <c r="A419" s="93">
        <v>29495</v>
      </c>
      <c r="B419" s="94">
        <v>36</v>
      </c>
    </row>
    <row r="420" spans="1:2" ht="15.75" customHeight="1">
      <c r="A420" s="93">
        <v>29526</v>
      </c>
      <c r="B420" s="94">
        <v>36</v>
      </c>
    </row>
    <row r="421" spans="1:2" ht="15.75" customHeight="1">
      <c r="A421" s="93">
        <v>29556</v>
      </c>
      <c r="B421" s="94">
        <v>37</v>
      </c>
    </row>
    <row r="422" spans="1:2" ht="15.75" customHeight="1">
      <c r="A422" s="93">
        <v>29587</v>
      </c>
      <c r="B422" s="94">
        <v>38</v>
      </c>
    </row>
    <row r="423" spans="1:2" ht="15.75" customHeight="1">
      <c r="A423" s="93">
        <v>29618</v>
      </c>
      <c r="B423" s="94">
        <v>38</v>
      </c>
    </row>
    <row r="424" spans="1:2" ht="15.75" customHeight="1">
      <c r="A424" s="93">
        <v>29646</v>
      </c>
      <c r="B424" s="94">
        <v>38</v>
      </c>
    </row>
    <row r="425" spans="1:2" ht="15.75" customHeight="1">
      <c r="A425" s="93">
        <v>29677</v>
      </c>
      <c r="B425" s="94">
        <v>38</v>
      </c>
    </row>
    <row r="426" spans="1:2" ht="15.75" customHeight="1">
      <c r="A426" s="93">
        <v>29707</v>
      </c>
      <c r="B426" s="94">
        <v>38</v>
      </c>
    </row>
    <row r="427" spans="1:2" ht="15.75" customHeight="1">
      <c r="A427" s="93">
        <v>29738</v>
      </c>
      <c r="B427" s="94">
        <v>36</v>
      </c>
    </row>
    <row r="428" spans="1:2" ht="15.75" customHeight="1">
      <c r="A428" s="93">
        <v>29768</v>
      </c>
      <c r="B428" s="94">
        <v>36</v>
      </c>
    </row>
    <row r="429" spans="1:2" ht="15.75" customHeight="1">
      <c r="A429" s="93">
        <v>29799</v>
      </c>
      <c r="B429" s="94">
        <v>36</v>
      </c>
    </row>
    <row r="430" spans="1:2" ht="15.75" customHeight="1">
      <c r="A430" s="93">
        <v>29830</v>
      </c>
      <c r="B430" s="94">
        <v>36</v>
      </c>
    </row>
    <row r="431" spans="1:2" ht="15.75" customHeight="1">
      <c r="A431" s="93">
        <v>29860</v>
      </c>
      <c r="B431" s="94">
        <v>35</v>
      </c>
    </row>
    <row r="432" spans="1:2" ht="15.75" customHeight="1">
      <c r="A432" s="93">
        <v>29891</v>
      </c>
      <c r="B432" s="94">
        <v>36</v>
      </c>
    </row>
    <row r="433" spans="1:2" ht="15.75" customHeight="1">
      <c r="A433" s="93">
        <v>29921</v>
      </c>
      <c r="B433" s="94">
        <v>35</v>
      </c>
    </row>
    <row r="434" spans="1:2" ht="15.75" customHeight="1">
      <c r="A434" s="93">
        <v>29952</v>
      </c>
      <c r="B434" s="94">
        <v>33.85</v>
      </c>
    </row>
    <row r="435" spans="1:2" ht="15.75" customHeight="1">
      <c r="A435" s="93">
        <v>29983</v>
      </c>
      <c r="B435" s="94">
        <v>31.56</v>
      </c>
    </row>
    <row r="436" spans="1:2" ht="15.75" customHeight="1">
      <c r="A436" s="93">
        <v>30011</v>
      </c>
      <c r="B436" s="94">
        <v>28.48</v>
      </c>
    </row>
    <row r="437" spans="1:2" ht="15.75" customHeight="1">
      <c r="A437" s="93">
        <v>30042</v>
      </c>
      <c r="B437" s="94">
        <v>33.450000000000003</v>
      </c>
    </row>
    <row r="438" spans="1:2" ht="15.75" customHeight="1">
      <c r="A438" s="93">
        <v>30072</v>
      </c>
      <c r="B438" s="94">
        <v>35.93</v>
      </c>
    </row>
    <row r="439" spans="1:2" ht="15.75" customHeight="1">
      <c r="A439" s="93">
        <v>30103</v>
      </c>
      <c r="B439" s="94">
        <v>35.07</v>
      </c>
    </row>
    <row r="440" spans="1:2" ht="15.75" customHeight="1">
      <c r="A440" s="93">
        <v>30133</v>
      </c>
      <c r="B440" s="94">
        <v>34.159999999999997</v>
      </c>
    </row>
    <row r="441" spans="1:2" ht="15.75" customHeight="1">
      <c r="A441" s="93">
        <v>30164</v>
      </c>
      <c r="B441" s="94">
        <v>33.950000000000003</v>
      </c>
    </row>
    <row r="442" spans="1:2" ht="15.75" customHeight="1">
      <c r="A442" s="93">
        <v>30195</v>
      </c>
      <c r="B442" s="94">
        <v>35.630000000000003</v>
      </c>
    </row>
    <row r="443" spans="1:2" ht="15.75" customHeight="1">
      <c r="A443" s="93">
        <v>30225</v>
      </c>
      <c r="B443" s="94">
        <v>35.68</v>
      </c>
    </row>
    <row r="444" spans="1:2" ht="15.75" customHeight="1">
      <c r="A444" s="93">
        <v>30256</v>
      </c>
      <c r="B444" s="94">
        <v>34.15</v>
      </c>
    </row>
    <row r="445" spans="1:2" ht="15.75" customHeight="1">
      <c r="A445" s="93">
        <v>30286</v>
      </c>
      <c r="B445" s="94">
        <v>31.72</v>
      </c>
    </row>
    <row r="446" spans="1:2" ht="15.75" customHeight="1">
      <c r="A446" s="93">
        <v>30317</v>
      </c>
      <c r="B446" s="94">
        <v>31.19</v>
      </c>
    </row>
    <row r="447" spans="1:2" ht="15.75" customHeight="1">
      <c r="A447" s="93">
        <v>30348</v>
      </c>
      <c r="B447" s="94">
        <v>28.95</v>
      </c>
    </row>
    <row r="448" spans="1:2" ht="15.75" customHeight="1">
      <c r="A448" s="93">
        <v>30376</v>
      </c>
      <c r="B448" s="94">
        <v>28.82</v>
      </c>
    </row>
    <row r="449" spans="1:2" ht="15.75" customHeight="1">
      <c r="A449" s="93">
        <v>30407</v>
      </c>
      <c r="B449" s="94">
        <v>30.61</v>
      </c>
    </row>
    <row r="450" spans="1:2" ht="15.75" customHeight="1">
      <c r="A450" s="93">
        <v>30437</v>
      </c>
      <c r="B450" s="94">
        <v>30</v>
      </c>
    </row>
    <row r="451" spans="1:2" ht="15.75" customHeight="1">
      <c r="A451" s="93">
        <v>30468</v>
      </c>
      <c r="B451" s="94">
        <v>31</v>
      </c>
    </row>
    <row r="452" spans="1:2" ht="15.75" customHeight="1">
      <c r="A452" s="93">
        <v>30498</v>
      </c>
      <c r="B452" s="94">
        <v>31.66</v>
      </c>
    </row>
    <row r="453" spans="1:2" ht="15.75" customHeight="1">
      <c r="A453" s="93">
        <v>30529</v>
      </c>
      <c r="B453" s="94">
        <v>31.91</v>
      </c>
    </row>
    <row r="454" spans="1:2" ht="15.75" customHeight="1">
      <c r="A454" s="93">
        <v>30560</v>
      </c>
      <c r="B454" s="94">
        <v>31.11</v>
      </c>
    </row>
    <row r="455" spans="1:2" ht="15.75" customHeight="1">
      <c r="A455" s="93">
        <v>30590</v>
      </c>
      <c r="B455" s="94">
        <v>30.41</v>
      </c>
    </row>
    <row r="456" spans="1:2" ht="15.75" customHeight="1">
      <c r="A456" s="93">
        <v>30621</v>
      </c>
      <c r="B456" s="94">
        <v>29.84</v>
      </c>
    </row>
    <row r="457" spans="1:2" ht="15.75" customHeight="1">
      <c r="A457" s="93">
        <v>30651</v>
      </c>
      <c r="B457" s="94">
        <v>29.24</v>
      </c>
    </row>
    <row r="458" spans="1:2" ht="15.75" customHeight="1">
      <c r="A458" s="93">
        <v>30682</v>
      </c>
      <c r="B458" s="94">
        <v>29.69</v>
      </c>
    </row>
    <row r="459" spans="1:2" ht="15.75" customHeight="1">
      <c r="A459" s="93">
        <v>30713</v>
      </c>
      <c r="B459" s="94">
        <v>30.145</v>
      </c>
    </row>
    <row r="460" spans="1:2" ht="15.75" customHeight="1">
      <c r="A460" s="93">
        <v>30742</v>
      </c>
      <c r="B460" s="94">
        <v>30.760999999999999</v>
      </c>
    </row>
    <row r="461" spans="1:2" ht="15.75" customHeight="1">
      <c r="A461" s="93">
        <v>30773</v>
      </c>
      <c r="B461" s="94">
        <v>30.617999999999999</v>
      </c>
    </row>
    <row r="462" spans="1:2" ht="15.75" customHeight="1">
      <c r="A462" s="93">
        <v>30803</v>
      </c>
      <c r="B462" s="94">
        <v>30.52</v>
      </c>
    </row>
    <row r="463" spans="1:2" ht="15.75" customHeight="1">
      <c r="A463" s="93">
        <v>30834</v>
      </c>
      <c r="B463" s="94">
        <v>29.966999999999999</v>
      </c>
    </row>
    <row r="464" spans="1:2" ht="15.75" customHeight="1">
      <c r="A464" s="93">
        <v>30864</v>
      </c>
      <c r="B464" s="94">
        <v>28.751999999999999</v>
      </c>
    </row>
    <row r="465" spans="1:2" ht="15.75" customHeight="1">
      <c r="A465" s="93">
        <v>30895</v>
      </c>
      <c r="B465" s="94">
        <v>29.25</v>
      </c>
    </row>
    <row r="466" spans="1:2" ht="15.75" customHeight="1">
      <c r="A466" s="93">
        <v>30926</v>
      </c>
      <c r="B466" s="94">
        <v>29.311</v>
      </c>
    </row>
    <row r="467" spans="1:2" ht="15.75" customHeight="1">
      <c r="A467" s="93">
        <v>30956</v>
      </c>
      <c r="B467" s="94">
        <v>28.765000000000001</v>
      </c>
    </row>
    <row r="468" spans="1:2" ht="15.75" customHeight="1">
      <c r="A468" s="93">
        <v>30987</v>
      </c>
      <c r="B468" s="94">
        <v>28.097999999999999</v>
      </c>
    </row>
    <row r="469" spans="1:2" ht="15.75" customHeight="1">
      <c r="A469" s="93">
        <v>31017</v>
      </c>
      <c r="B469" s="94">
        <v>25.428999999999998</v>
      </c>
    </row>
    <row r="470" spans="1:2" ht="15.75" customHeight="1">
      <c r="A470" s="93">
        <v>31048</v>
      </c>
      <c r="B470" s="94">
        <v>25.640999999999998</v>
      </c>
    </row>
    <row r="471" spans="1:2" ht="15.75" customHeight="1">
      <c r="A471" s="93">
        <v>31079</v>
      </c>
      <c r="B471" s="94">
        <v>27.271000000000001</v>
      </c>
    </row>
    <row r="472" spans="1:2" ht="15.75" customHeight="1">
      <c r="A472" s="93">
        <v>31107</v>
      </c>
      <c r="B472" s="94">
        <v>28.238</v>
      </c>
    </row>
    <row r="473" spans="1:2" ht="15.75" customHeight="1">
      <c r="A473" s="93">
        <v>31138</v>
      </c>
      <c r="B473" s="94">
        <v>28.805</v>
      </c>
    </row>
    <row r="474" spans="1:2" ht="15.75" customHeight="1">
      <c r="A474" s="93">
        <v>31168</v>
      </c>
      <c r="B474" s="94">
        <v>27.623000000000001</v>
      </c>
    </row>
    <row r="475" spans="1:2" ht="15.75" customHeight="1">
      <c r="A475" s="93">
        <v>31199</v>
      </c>
      <c r="B475" s="94">
        <v>27.143000000000001</v>
      </c>
    </row>
    <row r="476" spans="1:2" ht="15.75" customHeight="1">
      <c r="A476" s="93">
        <v>31229</v>
      </c>
      <c r="B476" s="94">
        <v>27.329000000000001</v>
      </c>
    </row>
    <row r="477" spans="1:2" ht="15.75" customHeight="1">
      <c r="A477" s="93">
        <v>31260</v>
      </c>
      <c r="B477" s="94">
        <v>27.754999999999999</v>
      </c>
    </row>
    <row r="478" spans="1:2" ht="15.75" customHeight="1">
      <c r="A478" s="93">
        <v>31291</v>
      </c>
      <c r="B478" s="94">
        <v>28.289000000000001</v>
      </c>
    </row>
    <row r="479" spans="1:2" ht="15.75" customHeight="1">
      <c r="A479" s="93">
        <v>31321</v>
      </c>
      <c r="B479" s="94">
        <v>29.538</v>
      </c>
    </row>
    <row r="480" spans="1:2" ht="15.75" customHeight="1">
      <c r="A480" s="93">
        <v>31352</v>
      </c>
      <c r="B480" s="94">
        <v>30.812999999999999</v>
      </c>
    </row>
    <row r="481" spans="1:2" ht="15.75" customHeight="1">
      <c r="A481" s="93">
        <v>31382</v>
      </c>
      <c r="B481" s="94">
        <v>27.228000000000002</v>
      </c>
    </row>
    <row r="482" spans="1:2" ht="15.75" customHeight="1">
      <c r="A482" s="93">
        <v>31413</v>
      </c>
      <c r="B482" s="94">
        <v>22.945</v>
      </c>
    </row>
    <row r="483" spans="1:2" ht="15.75" customHeight="1">
      <c r="A483" s="93">
        <v>31444</v>
      </c>
      <c r="B483" s="94">
        <v>15.442</v>
      </c>
    </row>
    <row r="484" spans="1:2" ht="15.75" customHeight="1">
      <c r="A484" s="93">
        <v>31472</v>
      </c>
      <c r="B484" s="94">
        <v>12.618</v>
      </c>
    </row>
    <row r="485" spans="1:2" ht="15.75" customHeight="1">
      <c r="A485" s="93">
        <v>31503</v>
      </c>
      <c r="B485" s="94">
        <v>12.847</v>
      </c>
    </row>
    <row r="486" spans="1:2" ht="15.75" customHeight="1">
      <c r="A486" s="93">
        <v>31533</v>
      </c>
      <c r="B486" s="94">
        <v>15.444000000000001</v>
      </c>
    </row>
    <row r="487" spans="1:2" ht="15.75" customHeight="1">
      <c r="A487" s="93">
        <v>31564</v>
      </c>
      <c r="B487" s="94">
        <v>13.468999999999999</v>
      </c>
    </row>
    <row r="488" spans="1:2" ht="15.75" customHeight="1">
      <c r="A488" s="93">
        <v>31594</v>
      </c>
      <c r="B488" s="94">
        <v>11.574999999999999</v>
      </c>
    </row>
    <row r="489" spans="1:2" ht="15.75" customHeight="1">
      <c r="A489" s="93">
        <v>31625</v>
      </c>
      <c r="B489" s="94">
        <v>15.092000000000001</v>
      </c>
    </row>
    <row r="490" spans="1:2" ht="15.75" customHeight="1">
      <c r="A490" s="93">
        <v>31656</v>
      </c>
      <c r="B490" s="94">
        <v>14.913</v>
      </c>
    </row>
    <row r="491" spans="1:2" ht="15.75" customHeight="1">
      <c r="A491" s="93">
        <v>31686</v>
      </c>
      <c r="B491" s="94">
        <v>14.852</v>
      </c>
    </row>
    <row r="492" spans="1:2" ht="15.75" customHeight="1">
      <c r="A492" s="93">
        <v>31717</v>
      </c>
      <c r="B492" s="94">
        <v>15.207000000000001</v>
      </c>
    </row>
    <row r="493" spans="1:2" ht="15.75" customHeight="1">
      <c r="A493" s="93">
        <v>31747</v>
      </c>
      <c r="B493" s="94">
        <v>16.076000000000001</v>
      </c>
    </row>
    <row r="494" spans="1:2" ht="15.75" customHeight="1">
      <c r="A494" s="93">
        <v>31778</v>
      </c>
      <c r="B494" s="94">
        <v>18.655999999999999</v>
      </c>
    </row>
    <row r="495" spans="1:2" ht="15.75" customHeight="1">
      <c r="A495" s="93">
        <v>31809</v>
      </c>
      <c r="B495" s="94">
        <v>17.725999999999999</v>
      </c>
    </row>
    <row r="496" spans="1:2" ht="15.75" customHeight="1">
      <c r="A496" s="93">
        <v>31837</v>
      </c>
      <c r="B496" s="94">
        <v>18.305</v>
      </c>
    </row>
    <row r="497" spans="1:2" ht="15.75" customHeight="1">
      <c r="A497" s="93">
        <v>31868</v>
      </c>
      <c r="B497" s="94">
        <v>18.643000000000001</v>
      </c>
    </row>
    <row r="498" spans="1:2" ht="15.75" customHeight="1">
      <c r="A498" s="93">
        <v>31898</v>
      </c>
      <c r="B498" s="94">
        <v>19.414999999999999</v>
      </c>
    </row>
    <row r="499" spans="1:2" ht="15.75" customHeight="1">
      <c r="A499" s="93">
        <v>31929</v>
      </c>
      <c r="B499" s="94">
        <v>20.033999999999999</v>
      </c>
    </row>
    <row r="500" spans="1:2" ht="15.75" customHeight="1">
      <c r="A500" s="93">
        <v>31959</v>
      </c>
      <c r="B500" s="94">
        <v>21.355</v>
      </c>
    </row>
    <row r="501" spans="1:2" ht="15.75" customHeight="1">
      <c r="A501" s="93">
        <v>31990</v>
      </c>
      <c r="B501" s="94">
        <v>20.274000000000001</v>
      </c>
    </row>
    <row r="502" spans="1:2" ht="15.75" customHeight="1">
      <c r="A502" s="93">
        <v>32021</v>
      </c>
      <c r="B502" s="94">
        <v>19.526</v>
      </c>
    </row>
    <row r="503" spans="1:2" ht="15.75" customHeight="1">
      <c r="A503" s="93">
        <v>32051</v>
      </c>
      <c r="B503" s="94">
        <v>19.847999999999999</v>
      </c>
    </row>
    <row r="504" spans="1:2" ht="15.75" customHeight="1">
      <c r="A504" s="93">
        <v>32082</v>
      </c>
      <c r="B504" s="94">
        <v>18.920000000000002</v>
      </c>
    </row>
    <row r="505" spans="1:2" ht="15.75" customHeight="1">
      <c r="A505" s="93">
        <v>32112</v>
      </c>
      <c r="B505" s="94">
        <v>17.241</v>
      </c>
    </row>
    <row r="506" spans="1:2" ht="15.75" customHeight="1">
      <c r="A506" s="93">
        <v>32143</v>
      </c>
      <c r="B506" s="94">
        <v>17.16</v>
      </c>
    </row>
    <row r="507" spans="1:2" ht="15.75" customHeight="1">
      <c r="A507" s="93">
        <v>32174</v>
      </c>
      <c r="B507" s="94">
        <v>16.765000000000001</v>
      </c>
    </row>
    <row r="508" spans="1:2" ht="15.75" customHeight="1">
      <c r="A508" s="93">
        <v>32203</v>
      </c>
      <c r="B508" s="94">
        <v>16.216999999999999</v>
      </c>
    </row>
    <row r="509" spans="1:2" ht="15.75" customHeight="1">
      <c r="A509" s="93">
        <v>32234</v>
      </c>
      <c r="B509" s="94">
        <v>17.875</v>
      </c>
    </row>
    <row r="510" spans="1:2" ht="15.75" customHeight="1">
      <c r="A510" s="93">
        <v>32264</v>
      </c>
      <c r="B510" s="94">
        <v>17.437999999999999</v>
      </c>
    </row>
    <row r="511" spans="1:2" ht="15.75" customHeight="1">
      <c r="A511" s="93">
        <v>32295</v>
      </c>
      <c r="B511" s="94">
        <v>16.53</v>
      </c>
    </row>
    <row r="512" spans="1:2" ht="15.75" customHeight="1">
      <c r="A512" s="93">
        <v>32325</v>
      </c>
      <c r="B512" s="94">
        <v>15.497999999999999</v>
      </c>
    </row>
    <row r="513" spans="1:2" ht="15.75" customHeight="1">
      <c r="A513" s="93">
        <v>32356</v>
      </c>
      <c r="B513" s="94">
        <v>15.523999999999999</v>
      </c>
    </row>
    <row r="514" spans="1:2" ht="15.75" customHeight="1">
      <c r="A514" s="93">
        <v>32387</v>
      </c>
      <c r="B514" s="94">
        <v>14.467000000000001</v>
      </c>
    </row>
    <row r="515" spans="1:2" ht="15.75" customHeight="1">
      <c r="A515" s="93">
        <v>32417</v>
      </c>
      <c r="B515" s="94">
        <v>13.798</v>
      </c>
    </row>
    <row r="516" spans="1:2" ht="15.75" customHeight="1">
      <c r="A516" s="93">
        <v>32448</v>
      </c>
      <c r="B516" s="94">
        <v>13.977</v>
      </c>
    </row>
    <row r="517" spans="1:2" ht="15.75" customHeight="1">
      <c r="A517" s="93">
        <v>32478</v>
      </c>
      <c r="B517" s="94">
        <v>16.265999999999998</v>
      </c>
    </row>
    <row r="518" spans="1:2" ht="15.75" customHeight="1">
      <c r="A518" s="93">
        <v>32509</v>
      </c>
      <c r="B518" s="94">
        <v>17.983000000000001</v>
      </c>
    </row>
    <row r="519" spans="1:2" ht="15.75" customHeight="1">
      <c r="A519" s="93">
        <v>32540</v>
      </c>
      <c r="B519" s="94">
        <v>17.826000000000001</v>
      </c>
    </row>
    <row r="520" spans="1:2" ht="15.75" customHeight="1">
      <c r="A520" s="93">
        <v>32568</v>
      </c>
      <c r="B520" s="94">
        <v>19.445</v>
      </c>
    </row>
    <row r="521" spans="1:2" ht="15.75" customHeight="1">
      <c r="A521" s="93">
        <v>32599</v>
      </c>
      <c r="B521" s="94">
        <v>21.04</v>
      </c>
    </row>
    <row r="522" spans="1:2" ht="15.75" customHeight="1">
      <c r="A522" s="93">
        <v>32629</v>
      </c>
      <c r="B522" s="94">
        <v>20.032</v>
      </c>
    </row>
    <row r="523" spans="1:2" ht="15.75" customHeight="1">
      <c r="A523" s="93">
        <v>32660</v>
      </c>
      <c r="B523" s="94">
        <v>20.004999999999999</v>
      </c>
    </row>
    <row r="524" spans="1:2" ht="15.75" customHeight="1">
      <c r="A524" s="93">
        <v>32690</v>
      </c>
      <c r="B524" s="94">
        <v>19.643999999999998</v>
      </c>
    </row>
    <row r="525" spans="1:2" ht="15.75" customHeight="1">
      <c r="A525" s="93">
        <v>32721</v>
      </c>
      <c r="B525" s="94">
        <v>18.521999999999998</v>
      </c>
    </row>
    <row r="526" spans="1:2" ht="15.75" customHeight="1">
      <c r="A526" s="93">
        <v>32752</v>
      </c>
      <c r="B526" s="94">
        <v>19.594000000000001</v>
      </c>
    </row>
    <row r="527" spans="1:2" ht="15.75" customHeight="1">
      <c r="A527" s="93">
        <v>32782</v>
      </c>
      <c r="B527" s="94">
        <v>20.091000000000001</v>
      </c>
    </row>
    <row r="528" spans="1:2" ht="15.75" customHeight="1">
      <c r="A528" s="93">
        <v>32813</v>
      </c>
      <c r="B528" s="94">
        <v>19.82</v>
      </c>
    </row>
    <row r="529" spans="1:2" ht="15.75" customHeight="1">
      <c r="A529" s="93">
        <v>32843</v>
      </c>
      <c r="B529" s="94">
        <v>21.088000000000001</v>
      </c>
    </row>
    <row r="530" spans="1:2" ht="15.75" customHeight="1">
      <c r="A530" s="93">
        <v>32874</v>
      </c>
      <c r="B530" s="94">
        <v>22.640999999999998</v>
      </c>
    </row>
    <row r="531" spans="1:2" ht="15.75" customHeight="1">
      <c r="A531" s="93">
        <v>32905</v>
      </c>
      <c r="B531" s="94">
        <v>22.108000000000001</v>
      </c>
    </row>
    <row r="532" spans="1:2" ht="15.75" customHeight="1">
      <c r="A532" s="93">
        <v>32933</v>
      </c>
      <c r="B532" s="94">
        <v>20.417999999999999</v>
      </c>
    </row>
    <row r="533" spans="1:2" ht="15.75" customHeight="1">
      <c r="A533" s="93">
        <v>32964</v>
      </c>
      <c r="B533" s="94">
        <v>18.582000000000001</v>
      </c>
    </row>
    <row r="534" spans="1:2" ht="15.75" customHeight="1">
      <c r="A534" s="93">
        <v>32994</v>
      </c>
      <c r="B534" s="94">
        <v>18.236999999999998</v>
      </c>
    </row>
    <row r="535" spans="1:2" ht="15.75" customHeight="1">
      <c r="A535" s="93">
        <v>33025</v>
      </c>
      <c r="B535" s="94">
        <v>16.870999999999999</v>
      </c>
    </row>
    <row r="536" spans="1:2" ht="15.75" customHeight="1">
      <c r="A536" s="93">
        <v>33055</v>
      </c>
      <c r="B536" s="94">
        <v>18.638000000000002</v>
      </c>
    </row>
    <row r="537" spans="1:2" ht="15.75" customHeight="1">
      <c r="A537" s="93">
        <v>33086</v>
      </c>
      <c r="B537" s="94">
        <v>27.173999999999999</v>
      </c>
    </row>
    <row r="538" spans="1:2" ht="15.75" customHeight="1">
      <c r="A538" s="93">
        <v>33117</v>
      </c>
      <c r="B538" s="94">
        <v>33.686999999999998</v>
      </c>
    </row>
    <row r="539" spans="1:2" ht="15.75" customHeight="1">
      <c r="A539" s="93">
        <v>33147</v>
      </c>
      <c r="B539" s="94">
        <v>35.921999999999997</v>
      </c>
    </row>
    <row r="540" spans="1:2" ht="15.75" customHeight="1">
      <c r="A540" s="93">
        <v>33178</v>
      </c>
      <c r="B540" s="94">
        <v>32.299999999999997</v>
      </c>
    </row>
    <row r="541" spans="1:2" ht="15.75" customHeight="1">
      <c r="A541" s="93">
        <v>33208</v>
      </c>
      <c r="B541" s="94">
        <v>27.337</v>
      </c>
    </row>
    <row r="542" spans="1:2" ht="15.75" customHeight="1">
      <c r="A542" s="93">
        <v>33239</v>
      </c>
      <c r="B542" s="94">
        <v>24.959</v>
      </c>
    </row>
    <row r="543" spans="1:2" ht="15.75" customHeight="1">
      <c r="A543" s="93">
        <v>33270</v>
      </c>
      <c r="B543" s="94">
        <v>20.523</v>
      </c>
    </row>
    <row r="544" spans="1:2" ht="15.75" customHeight="1">
      <c r="A544" s="93">
        <v>33298</v>
      </c>
      <c r="B544" s="94">
        <v>19.86</v>
      </c>
    </row>
    <row r="545" spans="1:2" ht="15.75" customHeight="1">
      <c r="A545" s="93">
        <v>33329</v>
      </c>
      <c r="B545" s="94">
        <v>20.823</v>
      </c>
    </row>
    <row r="546" spans="1:2" ht="15.75" customHeight="1">
      <c r="A546" s="93">
        <v>33359</v>
      </c>
      <c r="B546" s="94">
        <v>21.24</v>
      </c>
    </row>
    <row r="547" spans="1:2" ht="15.75" customHeight="1">
      <c r="A547" s="93">
        <v>33390</v>
      </c>
      <c r="B547" s="94">
        <v>20.195</v>
      </c>
    </row>
    <row r="548" spans="1:2" ht="15.75" customHeight="1">
      <c r="A548" s="93">
        <v>33420</v>
      </c>
      <c r="B548" s="94">
        <v>21.42</v>
      </c>
    </row>
    <row r="549" spans="1:2" ht="15.75" customHeight="1">
      <c r="A549" s="93">
        <v>33451</v>
      </c>
      <c r="B549" s="94">
        <v>21.687999999999999</v>
      </c>
    </row>
    <row r="550" spans="1:2" ht="15.75" customHeight="1">
      <c r="A550" s="93">
        <v>33482</v>
      </c>
      <c r="B550" s="94">
        <v>21.856999999999999</v>
      </c>
    </row>
    <row r="551" spans="1:2" ht="15.75" customHeight="1">
      <c r="A551" s="93">
        <v>33512</v>
      </c>
      <c r="B551" s="94">
        <v>23.228000000000002</v>
      </c>
    </row>
    <row r="552" spans="1:2" ht="15.75" customHeight="1">
      <c r="A552" s="93">
        <v>33543</v>
      </c>
      <c r="B552" s="94">
        <v>22.465</v>
      </c>
    </row>
    <row r="553" spans="1:2" ht="15.75" customHeight="1">
      <c r="A553" s="93">
        <v>33573</v>
      </c>
      <c r="B553" s="94">
        <v>19.516999999999999</v>
      </c>
    </row>
    <row r="554" spans="1:2" ht="15.75" customHeight="1">
      <c r="A554" s="93">
        <v>33604</v>
      </c>
      <c r="B554" s="94">
        <v>18.82</v>
      </c>
    </row>
    <row r="555" spans="1:2" ht="15.75" customHeight="1">
      <c r="A555" s="93">
        <v>33635</v>
      </c>
      <c r="B555" s="94">
        <v>18.995000000000001</v>
      </c>
    </row>
    <row r="556" spans="1:2" ht="15.75" customHeight="1">
      <c r="A556" s="93">
        <v>33664</v>
      </c>
      <c r="B556" s="94">
        <v>18.916</v>
      </c>
    </row>
    <row r="557" spans="1:2" ht="15.75" customHeight="1">
      <c r="A557" s="93">
        <v>33695</v>
      </c>
      <c r="B557" s="94">
        <v>20.242999999999999</v>
      </c>
    </row>
    <row r="558" spans="1:2" ht="15.75" customHeight="1">
      <c r="A558" s="93">
        <v>33725</v>
      </c>
      <c r="B558" s="94">
        <v>20.94</v>
      </c>
    </row>
    <row r="559" spans="1:2" ht="15.75" customHeight="1">
      <c r="A559" s="93">
        <v>33756</v>
      </c>
      <c r="B559" s="94">
        <v>22.375</v>
      </c>
    </row>
    <row r="560" spans="1:2" ht="15.75" customHeight="1">
      <c r="A560" s="93">
        <v>33786</v>
      </c>
      <c r="B560" s="94">
        <v>21.759</v>
      </c>
    </row>
    <row r="561" spans="1:2" ht="15.75" customHeight="1">
      <c r="A561" s="93">
        <v>33817</v>
      </c>
      <c r="B561" s="94">
        <v>21.35</v>
      </c>
    </row>
    <row r="562" spans="1:2" ht="15.75" customHeight="1">
      <c r="A562" s="93">
        <v>33848</v>
      </c>
      <c r="B562" s="94">
        <v>21.902000000000001</v>
      </c>
    </row>
    <row r="563" spans="1:2" ht="15.75" customHeight="1">
      <c r="A563" s="93">
        <v>33878</v>
      </c>
      <c r="B563" s="94">
        <v>21.687999999999999</v>
      </c>
    </row>
    <row r="564" spans="1:2" ht="15.75" customHeight="1">
      <c r="A564" s="93">
        <v>33909</v>
      </c>
      <c r="B564" s="94">
        <v>20.341999999999999</v>
      </c>
    </row>
    <row r="565" spans="1:2" ht="15.75" customHeight="1">
      <c r="A565" s="93">
        <v>33939</v>
      </c>
      <c r="B565" s="94">
        <v>19.407</v>
      </c>
    </row>
    <row r="566" spans="1:2" ht="15.75" customHeight="1">
      <c r="A566" s="93">
        <v>33970</v>
      </c>
      <c r="B566" s="94">
        <v>19.074999999999999</v>
      </c>
    </row>
    <row r="567" spans="1:2" ht="15.75" customHeight="1">
      <c r="A567" s="93">
        <v>34001</v>
      </c>
      <c r="B567" s="94">
        <v>20.053000000000001</v>
      </c>
    </row>
    <row r="568" spans="1:2" ht="15.75" customHeight="1">
      <c r="A568" s="93">
        <v>34029</v>
      </c>
      <c r="B568" s="94">
        <v>20.347000000000001</v>
      </c>
    </row>
    <row r="569" spans="1:2" ht="15.75" customHeight="1">
      <c r="A569" s="93">
        <v>34060</v>
      </c>
      <c r="B569" s="94">
        <v>20.27</v>
      </c>
    </row>
    <row r="570" spans="1:2" ht="15.75" customHeight="1">
      <c r="A570" s="93">
        <v>34090</v>
      </c>
      <c r="B570" s="94">
        <v>19.940000000000001</v>
      </c>
    </row>
    <row r="571" spans="1:2" ht="15.75" customHeight="1">
      <c r="A571" s="93">
        <v>34121</v>
      </c>
      <c r="B571" s="94">
        <v>19.07</v>
      </c>
    </row>
    <row r="572" spans="1:2" ht="15.75" customHeight="1">
      <c r="A572" s="93">
        <v>34151</v>
      </c>
      <c r="B572" s="94">
        <v>17.866</v>
      </c>
    </row>
    <row r="573" spans="1:2" ht="15.75" customHeight="1">
      <c r="A573" s="93">
        <v>34182</v>
      </c>
      <c r="B573" s="94">
        <v>18.009</v>
      </c>
    </row>
    <row r="574" spans="1:2" ht="15.75" customHeight="1">
      <c r="A574" s="93">
        <v>34213</v>
      </c>
      <c r="B574" s="94">
        <v>17.513999999999999</v>
      </c>
    </row>
    <row r="575" spans="1:2" ht="15.75" customHeight="1">
      <c r="A575" s="93">
        <v>34243</v>
      </c>
      <c r="B575" s="94">
        <v>18.145</v>
      </c>
    </row>
    <row r="576" spans="1:2" ht="15.75" customHeight="1">
      <c r="A576" s="93">
        <v>34274</v>
      </c>
      <c r="B576" s="94">
        <v>16.699000000000002</v>
      </c>
    </row>
    <row r="577" spans="1:2" ht="15.75" customHeight="1">
      <c r="A577" s="93">
        <v>34304</v>
      </c>
      <c r="B577" s="94">
        <v>14.51</v>
      </c>
    </row>
    <row r="578" spans="1:2" ht="15.75" customHeight="1">
      <c r="A578" s="93">
        <v>34335</v>
      </c>
      <c r="B578" s="94">
        <v>15</v>
      </c>
    </row>
    <row r="579" spans="1:2" ht="15.75" customHeight="1">
      <c r="A579" s="93">
        <v>34366</v>
      </c>
      <c r="B579" s="94">
        <v>14.78</v>
      </c>
    </row>
    <row r="580" spans="1:2" ht="15.75" customHeight="1">
      <c r="A580" s="93">
        <v>34394</v>
      </c>
      <c r="B580" s="94">
        <v>14.66</v>
      </c>
    </row>
    <row r="581" spans="1:2" ht="15.75" customHeight="1">
      <c r="A581" s="93">
        <v>34425</v>
      </c>
      <c r="B581" s="94">
        <v>16.38</v>
      </c>
    </row>
    <row r="582" spans="1:2" ht="15.75" customHeight="1">
      <c r="A582" s="93">
        <v>34455</v>
      </c>
      <c r="B582" s="94">
        <v>17.88</v>
      </c>
    </row>
    <row r="583" spans="1:2" ht="15.75" customHeight="1">
      <c r="A583" s="93">
        <v>34486</v>
      </c>
      <c r="B583" s="94">
        <v>19.07</v>
      </c>
    </row>
    <row r="584" spans="1:2" ht="15.75" customHeight="1">
      <c r="A584" s="93">
        <v>34516</v>
      </c>
      <c r="B584" s="94">
        <v>19.649999999999999</v>
      </c>
    </row>
    <row r="585" spans="1:2" ht="15.75" customHeight="1">
      <c r="A585" s="93">
        <v>34547</v>
      </c>
      <c r="B585" s="94">
        <v>18.38</v>
      </c>
    </row>
    <row r="586" spans="1:2" ht="15.75" customHeight="1">
      <c r="A586" s="93">
        <v>34578</v>
      </c>
      <c r="B586" s="94">
        <v>17.46</v>
      </c>
    </row>
    <row r="587" spans="1:2" ht="15.75" customHeight="1">
      <c r="A587" s="93">
        <v>34608</v>
      </c>
      <c r="B587" s="94">
        <v>17.71</v>
      </c>
    </row>
    <row r="588" spans="1:2" ht="15.75" customHeight="1">
      <c r="A588" s="93">
        <v>34639</v>
      </c>
      <c r="B588" s="94">
        <v>18.100000000000001</v>
      </c>
    </row>
    <row r="589" spans="1:2" ht="15.75" customHeight="1">
      <c r="A589" s="93">
        <v>34669</v>
      </c>
      <c r="B589" s="94">
        <v>17.16</v>
      </c>
    </row>
    <row r="590" spans="1:2" ht="15.75" customHeight="1">
      <c r="A590" s="93">
        <v>34700</v>
      </c>
      <c r="B590" s="94">
        <v>17.989999999999998</v>
      </c>
    </row>
    <row r="591" spans="1:2" ht="15.75" customHeight="1">
      <c r="A591" s="93">
        <v>34731</v>
      </c>
      <c r="B591" s="94">
        <v>18.53</v>
      </c>
    </row>
    <row r="592" spans="1:2" ht="15.75" customHeight="1">
      <c r="A592" s="93">
        <v>34759</v>
      </c>
      <c r="B592" s="94">
        <v>18.55</v>
      </c>
    </row>
    <row r="593" spans="1:2" ht="15.75" customHeight="1">
      <c r="A593" s="93">
        <v>34790</v>
      </c>
      <c r="B593" s="94">
        <v>19.87</v>
      </c>
    </row>
    <row r="594" spans="1:2" ht="15.75" customHeight="1">
      <c r="A594" s="93">
        <v>34820</v>
      </c>
      <c r="B594" s="94">
        <v>19.739999999999998</v>
      </c>
    </row>
    <row r="595" spans="1:2" ht="15.75" customHeight="1">
      <c r="A595" s="93">
        <v>34851</v>
      </c>
      <c r="B595" s="94">
        <v>18.420000000000002</v>
      </c>
    </row>
    <row r="596" spans="1:2" ht="15.75" customHeight="1">
      <c r="A596" s="93">
        <v>34881</v>
      </c>
      <c r="B596" s="94">
        <v>17.3</v>
      </c>
    </row>
    <row r="597" spans="1:2" ht="15.75" customHeight="1">
      <c r="A597" s="93">
        <v>34912</v>
      </c>
      <c r="B597" s="94">
        <v>18.03</v>
      </c>
    </row>
    <row r="598" spans="1:2" ht="15.75" customHeight="1">
      <c r="A598" s="93">
        <v>34943</v>
      </c>
      <c r="B598" s="94">
        <v>18.23</v>
      </c>
    </row>
    <row r="599" spans="1:2" ht="15.75" customHeight="1">
      <c r="A599" s="93">
        <v>34973</v>
      </c>
      <c r="B599" s="94">
        <v>17.440000000000001</v>
      </c>
    </row>
    <row r="600" spans="1:2" ht="15.75" customHeight="1">
      <c r="A600" s="93">
        <v>35004</v>
      </c>
      <c r="B600" s="94">
        <v>17.989999999999998</v>
      </c>
    </row>
    <row r="601" spans="1:2" ht="15.75" customHeight="1">
      <c r="A601" s="93">
        <v>35034</v>
      </c>
      <c r="B601" s="94">
        <v>19.04</v>
      </c>
    </row>
    <row r="602" spans="1:2" ht="15.75" customHeight="1">
      <c r="A602" s="93">
        <v>35065</v>
      </c>
      <c r="B602" s="94">
        <v>18.88</v>
      </c>
    </row>
    <row r="603" spans="1:2" ht="15.75" customHeight="1">
      <c r="A603" s="93">
        <v>35096</v>
      </c>
      <c r="B603" s="94">
        <v>19.07</v>
      </c>
    </row>
    <row r="604" spans="1:2" ht="15.75" customHeight="1">
      <c r="A604" s="93">
        <v>35125</v>
      </c>
      <c r="B604" s="94">
        <v>21.36</v>
      </c>
    </row>
    <row r="605" spans="1:2" ht="15.75" customHeight="1">
      <c r="A605" s="93">
        <v>35156</v>
      </c>
      <c r="B605" s="94">
        <v>23.57</v>
      </c>
    </row>
    <row r="606" spans="1:2" ht="15.75" customHeight="1">
      <c r="A606" s="93">
        <v>35186</v>
      </c>
      <c r="B606" s="94">
        <v>21.25</v>
      </c>
    </row>
    <row r="607" spans="1:2" ht="15.75" customHeight="1">
      <c r="A607" s="93">
        <v>35217</v>
      </c>
      <c r="B607" s="94">
        <v>20.45</v>
      </c>
    </row>
    <row r="608" spans="1:2" ht="15.75" customHeight="1">
      <c r="A608" s="93">
        <v>35247</v>
      </c>
      <c r="B608" s="94">
        <v>21.32</v>
      </c>
    </row>
    <row r="609" spans="1:2" ht="15.75" customHeight="1">
      <c r="A609" s="93">
        <v>35278</v>
      </c>
      <c r="B609" s="94">
        <v>21.96</v>
      </c>
    </row>
    <row r="610" spans="1:2" ht="15.75" customHeight="1">
      <c r="A610" s="93">
        <v>35309</v>
      </c>
      <c r="B610" s="94">
        <v>23.99</v>
      </c>
    </row>
    <row r="611" spans="1:2" ht="15.75" customHeight="1">
      <c r="A611" s="93">
        <v>35339</v>
      </c>
      <c r="B611" s="94">
        <v>24.9</v>
      </c>
    </row>
    <row r="612" spans="1:2" ht="15.75" customHeight="1">
      <c r="A612" s="93">
        <v>35370</v>
      </c>
      <c r="B612" s="94">
        <v>23.71</v>
      </c>
    </row>
    <row r="613" spans="1:2" ht="15.75" customHeight="1">
      <c r="A613" s="93">
        <v>35400</v>
      </c>
      <c r="B613" s="94">
        <v>25.39</v>
      </c>
    </row>
    <row r="614" spans="1:2" ht="15.75" customHeight="1">
      <c r="A614" s="93">
        <v>35431</v>
      </c>
      <c r="B614" s="94">
        <v>25.17</v>
      </c>
    </row>
    <row r="615" spans="1:2" ht="15.75" customHeight="1">
      <c r="A615" s="93">
        <v>35462</v>
      </c>
      <c r="B615" s="94">
        <v>22.21</v>
      </c>
    </row>
    <row r="616" spans="1:2" ht="15.75" customHeight="1">
      <c r="A616" s="93">
        <v>35490</v>
      </c>
      <c r="B616" s="94">
        <v>20.99</v>
      </c>
    </row>
    <row r="617" spans="1:2" ht="15.75" customHeight="1">
      <c r="A617" s="93">
        <v>35521</v>
      </c>
      <c r="B617" s="94">
        <v>19.72</v>
      </c>
    </row>
    <row r="618" spans="1:2" ht="15.75" customHeight="1">
      <c r="A618" s="93">
        <v>35551</v>
      </c>
      <c r="B618" s="94">
        <v>20.83</v>
      </c>
    </row>
    <row r="619" spans="1:2" ht="15.75" customHeight="1">
      <c r="A619" s="93">
        <v>35582</v>
      </c>
      <c r="B619" s="94">
        <v>19.170000000000002</v>
      </c>
    </row>
    <row r="620" spans="1:2" ht="15.75" customHeight="1">
      <c r="A620" s="93">
        <v>35612</v>
      </c>
      <c r="B620" s="94">
        <v>19.63</v>
      </c>
    </row>
    <row r="621" spans="1:2" ht="15.75" customHeight="1">
      <c r="A621" s="93">
        <v>35643</v>
      </c>
      <c r="B621" s="94">
        <v>19.93</v>
      </c>
    </row>
    <row r="622" spans="1:2" ht="15.75" customHeight="1">
      <c r="A622" s="93">
        <v>35674</v>
      </c>
      <c r="B622" s="94">
        <v>19.79</v>
      </c>
    </row>
    <row r="623" spans="1:2" ht="15.75" customHeight="1">
      <c r="A623" s="93">
        <v>35704</v>
      </c>
      <c r="B623" s="94">
        <v>21.26</v>
      </c>
    </row>
    <row r="624" spans="1:2" ht="15.75" customHeight="1">
      <c r="A624" s="93">
        <v>35735</v>
      </c>
      <c r="B624" s="94">
        <v>20.170000000000002</v>
      </c>
    </row>
    <row r="625" spans="1:2" ht="15.75" customHeight="1">
      <c r="A625" s="93">
        <v>35765</v>
      </c>
      <c r="B625" s="94">
        <v>18.32</v>
      </c>
    </row>
    <row r="626" spans="1:2" ht="15.75" customHeight="1">
      <c r="A626" s="93">
        <v>35796</v>
      </c>
      <c r="B626" s="94">
        <v>16.71</v>
      </c>
    </row>
    <row r="627" spans="1:2" ht="15.75" customHeight="1">
      <c r="A627" s="93">
        <v>35827</v>
      </c>
      <c r="B627" s="94">
        <v>16.059999999999999</v>
      </c>
    </row>
    <row r="628" spans="1:2" ht="15.75" customHeight="1">
      <c r="A628" s="93">
        <v>35855</v>
      </c>
      <c r="B628" s="94">
        <v>15.02</v>
      </c>
    </row>
    <row r="629" spans="1:2" ht="15.75" customHeight="1">
      <c r="A629" s="93">
        <v>35886</v>
      </c>
      <c r="B629" s="94">
        <v>15.44</v>
      </c>
    </row>
    <row r="630" spans="1:2" ht="15.75" customHeight="1">
      <c r="A630" s="93">
        <v>35916</v>
      </c>
      <c r="B630" s="94">
        <v>14.86</v>
      </c>
    </row>
    <row r="631" spans="1:2" ht="15.75" customHeight="1">
      <c r="A631" s="93">
        <v>35947</v>
      </c>
      <c r="B631" s="94">
        <v>13.66</v>
      </c>
    </row>
    <row r="632" spans="1:2" ht="15.75" customHeight="1">
      <c r="A632" s="93">
        <v>35977</v>
      </c>
      <c r="B632" s="94">
        <v>14.08</v>
      </c>
    </row>
    <row r="633" spans="1:2" ht="15.75" customHeight="1">
      <c r="A633" s="93">
        <v>36008</v>
      </c>
      <c r="B633" s="94">
        <v>13.36</v>
      </c>
    </row>
    <row r="634" spans="1:2" ht="15.75" customHeight="1">
      <c r="A634" s="93">
        <v>36039</v>
      </c>
      <c r="B634" s="94">
        <v>14.95</v>
      </c>
    </row>
    <row r="635" spans="1:2" ht="15.75" customHeight="1">
      <c r="A635" s="93">
        <v>36069</v>
      </c>
      <c r="B635" s="94">
        <v>14.39</v>
      </c>
    </row>
    <row r="636" spans="1:2" ht="15.75" customHeight="1">
      <c r="A636" s="93">
        <v>36100</v>
      </c>
      <c r="B636" s="94">
        <v>12.85</v>
      </c>
    </row>
    <row r="637" spans="1:2" ht="15.75" customHeight="1">
      <c r="A637" s="93">
        <v>36130</v>
      </c>
      <c r="B637" s="94">
        <v>11.28</v>
      </c>
    </row>
    <row r="638" spans="1:2" ht="15.75" customHeight="1">
      <c r="A638" s="93">
        <v>36161</v>
      </c>
      <c r="B638" s="94">
        <v>12.47</v>
      </c>
    </row>
    <row r="639" spans="1:2" ht="15.75" customHeight="1">
      <c r="A639" s="93">
        <v>36192</v>
      </c>
      <c r="B639" s="94">
        <v>12.01</v>
      </c>
    </row>
    <row r="640" spans="1:2" ht="15.75" customHeight="1">
      <c r="A640" s="93">
        <v>36220</v>
      </c>
      <c r="B640" s="94">
        <v>14.66</v>
      </c>
    </row>
    <row r="641" spans="1:2" ht="15.75" customHeight="1">
      <c r="A641" s="93">
        <v>36251</v>
      </c>
      <c r="B641" s="94">
        <v>17.34</v>
      </c>
    </row>
    <row r="642" spans="1:2" ht="15.75" customHeight="1">
      <c r="A642" s="93">
        <v>36281</v>
      </c>
      <c r="B642" s="94">
        <v>17.75</v>
      </c>
    </row>
    <row r="643" spans="1:2" ht="15.75" customHeight="1">
      <c r="A643" s="93">
        <v>36312</v>
      </c>
      <c r="B643" s="94">
        <v>17.89</v>
      </c>
    </row>
    <row r="644" spans="1:2" ht="15.75" customHeight="1">
      <c r="A644" s="93">
        <v>36342</v>
      </c>
      <c r="B644" s="94">
        <v>20.07</v>
      </c>
    </row>
    <row r="645" spans="1:2" ht="15.75" customHeight="1">
      <c r="A645" s="93">
        <v>36373</v>
      </c>
      <c r="B645" s="94">
        <v>21.26</v>
      </c>
    </row>
    <row r="646" spans="1:2" ht="15.75" customHeight="1">
      <c r="A646" s="93">
        <v>36404</v>
      </c>
      <c r="B646" s="94">
        <v>23.88</v>
      </c>
    </row>
    <row r="647" spans="1:2" ht="15.75" customHeight="1">
      <c r="A647" s="93">
        <v>36434</v>
      </c>
      <c r="B647" s="94">
        <v>22.64</v>
      </c>
    </row>
    <row r="648" spans="1:2" ht="15.75" customHeight="1">
      <c r="A648" s="93">
        <v>36465</v>
      </c>
      <c r="B648" s="94">
        <v>24.97</v>
      </c>
    </row>
    <row r="649" spans="1:2" ht="15.75" customHeight="1">
      <c r="A649" s="93">
        <v>36495</v>
      </c>
      <c r="B649" s="94">
        <v>26.08</v>
      </c>
    </row>
    <row r="650" spans="1:2" ht="15.75" customHeight="1">
      <c r="A650" s="93">
        <v>36526</v>
      </c>
      <c r="B650" s="94">
        <v>27.18</v>
      </c>
    </row>
    <row r="651" spans="1:2" ht="15.75" customHeight="1">
      <c r="A651" s="93">
        <v>36557</v>
      </c>
      <c r="B651" s="94">
        <v>29.35</v>
      </c>
    </row>
    <row r="652" spans="1:2" ht="15.75" customHeight="1">
      <c r="A652" s="93">
        <v>36586</v>
      </c>
      <c r="B652" s="94">
        <v>29.89</v>
      </c>
    </row>
    <row r="653" spans="1:2" ht="15.75" customHeight="1">
      <c r="A653" s="93">
        <v>36617</v>
      </c>
      <c r="B653" s="94">
        <v>25.74</v>
      </c>
    </row>
    <row r="654" spans="1:2" ht="15.75" customHeight="1">
      <c r="A654" s="93">
        <v>36647</v>
      </c>
      <c r="B654" s="94">
        <v>28.78</v>
      </c>
    </row>
    <row r="655" spans="1:2" ht="15.75" customHeight="1">
      <c r="A655" s="93">
        <v>36678</v>
      </c>
      <c r="B655" s="94">
        <v>31.83</v>
      </c>
    </row>
    <row r="656" spans="1:2" ht="15.75" customHeight="1">
      <c r="A656" s="93">
        <v>36708</v>
      </c>
      <c r="B656" s="94">
        <v>29.77</v>
      </c>
    </row>
    <row r="657" spans="1:2" ht="15.75" customHeight="1">
      <c r="A657" s="93">
        <v>36739</v>
      </c>
      <c r="B657" s="94">
        <v>31.22</v>
      </c>
    </row>
    <row r="658" spans="1:2" ht="15.75" customHeight="1">
      <c r="A658" s="93">
        <v>36770</v>
      </c>
      <c r="B658" s="94">
        <v>33.880000000000003</v>
      </c>
    </row>
    <row r="659" spans="1:2" ht="15.75" customHeight="1">
      <c r="A659" s="93">
        <v>36800</v>
      </c>
      <c r="B659" s="94">
        <v>33.08</v>
      </c>
    </row>
    <row r="660" spans="1:2" ht="15.75" customHeight="1">
      <c r="A660" s="93">
        <v>36831</v>
      </c>
      <c r="B660" s="94">
        <v>34.4</v>
      </c>
    </row>
    <row r="661" spans="1:2" ht="15.75" customHeight="1">
      <c r="A661" s="93">
        <v>36861</v>
      </c>
      <c r="B661" s="94">
        <v>28.46</v>
      </c>
    </row>
    <row r="662" spans="1:2" ht="15.75" customHeight="1">
      <c r="A662" s="93">
        <v>36892</v>
      </c>
      <c r="B662" s="94">
        <v>29.58</v>
      </c>
    </row>
    <row r="663" spans="1:2" ht="15.75" customHeight="1">
      <c r="A663" s="93">
        <v>36923</v>
      </c>
      <c r="B663" s="94">
        <v>29.61</v>
      </c>
    </row>
    <row r="664" spans="1:2" ht="15.75" customHeight="1">
      <c r="A664" s="93">
        <v>36951</v>
      </c>
      <c r="B664" s="94">
        <v>27.24</v>
      </c>
    </row>
    <row r="665" spans="1:2" ht="15.75" customHeight="1">
      <c r="A665" s="93">
        <v>36982</v>
      </c>
      <c r="B665" s="94">
        <v>27.41</v>
      </c>
    </row>
    <row r="666" spans="1:2" ht="15.75" customHeight="1">
      <c r="A666" s="93">
        <v>37012</v>
      </c>
      <c r="B666" s="94">
        <v>28.64</v>
      </c>
    </row>
    <row r="667" spans="1:2" ht="15.75" customHeight="1">
      <c r="A667" s="93">
        <v>37043</v>
      </c>
      <c r="B667" s="94">
        <v>27.6</v>
      </c>
    </row>
    <row r="668" spans="1:2" ht="15.75" customHeight="1">
      <c r="A668" s="93">
        <v>37073</v>
      </c>
      <c r="B668" s="94">
        <v>26.45</v>
      </c>
    </row>
    <row r="669" spans="1:2" ht="15.75" customHeight="1">
      <c r="A669" s="93">
        <v>37104</v>
      </c>
      <c r="B669" s="94">
        <v>27.47</v>
      </c>
    </row>
    <row r="670" spans="1:2" ht="15.75" customHeight="1">
      <c r="A670" s="93">
        <v>37135</v>
      </c>
      <c r="B670" s="94">
        <v>25.88</v>
      </c>
    </row>
    <row r="671" spans="1:2" ht="15.75" customHeight="1">
      <c r="A671" s="93">
        <v>37165</v>
      </c>
      <c r="B671" s="94">
        <v>22.21</v>
      </c>
    </row>
    <row r="672" spans="1:2" ht="15.75" customHeight="1">
      <c r="A672" s="93">
        <v>37196</v>
      </c>
      <c r="B672" s="94">
        <v>19.670000000000002</v>
      </c>
    </row>
    <row r="673" spans="1:2" ht="15.75" customHeight="1">
      <c r="A673" s="93">
        <v>37226</v>
      </c>
      <c r="B673" s="94">
        <v>19.329999999999998</v>
      </c>
    </row>
    <row r="674" spans="1:2" ht="15.75" customHeight="1">
      <c r="A674" s="93">
        <v>37257</v>
      </c>
      <c r="B674" s="94">
        <v>19.670000000000002</v>
      </c>
    </row>
    <row r="675" spans="1:2" ht="15.75" customHeight="1">
      <c r="A675" s="93">
        <v>37288</v>
      </c>
      <c r="B675" s="94">
        <v>20.74</v>
      </c>
    </row>
    <row r="676" spans="1:2" ht="15.75" customHeight="1">
      <c r="A676" s="93">
        <v>37316</v>
      </c>
      <c r="B676" s="94">
        <v>24.42</v>
      </c>
    </row>
    <row r="677" spans="1:2" ht="15.75" customHeight="1">
      <c r="A677" s="93">
        <v>37347</v>
      </c>
      <c r="B677" s="94">
        <v>26.27</v>
      </c>
    </row>
    <row r="678" spans="1:2" ht="15.75" customHeight="1">
      <c r="A678" s="93">
        <v>37377</v>
      </c>
      <c r="B678" s="94">
        <v>27.02</v>
      </c>
    </row>
    <row r="679" spans="1:2" ht="15.75" customHeight="1">
      <c r="A679" s="93">
        <v>37408</v>
      </c>
      <c r="B679" s="94">
        <v>25.52</v>
      </c>
    </row>
    <row r="680" spans="1:2" ht="15.75" customHeight="1">
      <c r="A680" s="93">
        <v>37438</v>
      </c>
      <c r="B680" s="94">
        <v>26.94</v>
      </c>
    </row>
    <row r="681" spans="1:2" ht="15.75" customHeight="1">
      <c r="A681" s="93">
        <v>37469</v>
      </c>
      <c r="B681" s="94">
        <v>28.38</v>
      </c>
    </row>
    <row r="682" spans="1:2" ht="15.75" customHeight="1">
      <c r="A682" s="93">
        <v>37500</v>
      </c>
      <c r="B682" s="94">
        <v>29.67</v>
      </c>
    </row>
    <row r="683" spans="1:2" ht="15.75" customHeight="1">
      <c r="A683" s="93">
        <v>37530</v>
      </c>
      <c r="B683" s="94">
        <v>28.85</v>
      </c>
    </row>
    <row r="684" spans="1:2" ht="15.75" customHeight="1">
      <c r="A684" s="93">
        <v>37561</v>
      </c>
      <c r="B684" s="94">
        <v>26.27</v>
      </c>
    </row>
    <row r="685" spans="1:2" ht="15.75" customHeight="1">
      <c r="A685" s="93">
        <v>37591</v>
      </c>
      <c r="B685" s="94">
        <v>29.42</v>
      </c>
    </row>
    <row r="686" spans="1:2" ht="15.75" customHeight="1">
      <c r="A686" s="93">
        <v>37622</v>
      </c>
      <c r="B686" s="94">
        <v>32.94</v>
      </c>
    </row>
    <row r="687" spans="1:2" ht="15.75" customHeight="1">
      <c r="A687" s="93">
        <v>37653</v>
      </c>
      <c r="B687" s="94">
        <v>35.869999999999997</v>
      </c>
    </row>
    <row r="688" spans="1:2" ht="15.75" customHeight="1">
      <c r="A688" s="93">
        <v>37681</v>
      </c>
      <c r="B688" s="94">
        <v>33.549999999999997</v>
      </c>
    </row>
    <row r="689" spans="1:2" ht="15.75" customHeight="1">
      <c r="A689" s="93">
        <v>37712</v>
      </c>
      <c r="B689" s="94">
        <v>28.25</v>
      </c>
    </row>
    <row r="690" spans="1:2" ht="15.75" customHeight="1">
      <c r="A690" s="93">
        <v>37742</v>
      </c>
      <c r="B690" s="94">
        <v>28.14</v>
      </c>
    </row>
    <row r="691" spans="1:2" ht="15.75" customHeight="1">
      <c r="A691" s="93">
        <v>37773</v>
      </c>
      <c r="B691" s="94">
        <v>30.72</v>
      </c>
    </row>
    <row r="692" spans="1:2" ht="15.75" customHeight="1">
      <c r="A692" s="93">
        <v>37803</v>
      </c>
      <c r="B692" s="94">
        <v>30.76</v>
      </c>
    </row>
    <row r="693" spans="1:2" ht="15.75" customHeight="1">
      <c r="A693" s="93">
        <v>37834</v>
      </c>
      <c r="B693" s="94">
        <v>31.59</v>
      </c>
    </row>
    <row r="694" spans="1:2" ht="15.75" customHeight="1">
      <c r="A694" s="93">
        <v>37865</v>
      </c>
      <c r="B694" s="94">
        <v>28.29</v>
      </c>
    </row>
    <row r="695" spans="1:2" ht="15.75" customHeight="1">
      <c r="A695" s="93">
        <v>37895</v>
      </c>
      <c r="B695" s="94">
        <v>30.33</v>
      </c>
    </row>
    <row r="696" spans="1:2" ht="15.75" customHeight="1">
      <c r="A696" s="93">
        <v>37926</v>
      </c>
      <c r="B696" s="94">
        <v>31.09</v>
      </c>
    </row>
    <row r="697" spans="1:2" ht="15.75" customHeight="1">
      <c r="A697" s="93">
        <v>37956</v>
      </c>
      <c r="B697" s="94">
        <v>32.15</v>
      </c>
    </row>
    <row r="698" spans="1:2" ht="15.75" customHeight="1">
      <c r="A698" s="93">
        <v>37987</v>
      </c>
      <c r="B698" s="94">
        <v>34.270000000000003</v>
      </c>
    </row>
    <row r="699" spans="1:2" ht="15.75" customHeight="1">
      <c r="A699" s="93">
        <v>38018</v>
      </c>
      <c r="B699" s="94">
        <v>34.74</v>
      </c>
    </row>
    <row r="700" spans="1:2" ht="15.75" customHeight="1">
      <c r="A700" s="93">
        <v>38047</v>
      </c>
      <c r="B700" s="94">
        <v>36.76</v>
      </c>
    </row>
    <row r="701" spans="1:2" ht="15.75" customHeight="1">
      <c r="A701" s="93">
        <v>38078</v>
      </c>
      <c r="B701" s="94">
        <v>36.69</v>
      </c>
    </row>
    <row r="702" spans="1:2" ht="15.75" customHeight="1">
      <c r="A702" s="93">
        <v>38108</v>
      </c>
      <c r="B702" s="94">
        <v>40.28</v>
      </c>
    </row>
    <row r="703" spans="1:2" ht="15.75" customHeight="1">
      <c r="A703" s="93">
        <v>38139</v>
      </c>
      <c r="B703" s="94">
        <v>38.020000000000003</v>
      </c>
    </row>
    <row r="704" spans="1:2" ht="15.75" customHeight="1">
      <c r="A704" s="93">
        <v>38169</v>
      </c>
      <c r="B704" s="94">
        <v>40.69</v>
      </c>
    </row>
    <row r="705" spans="1:2" ht="15.75" customHeight="1">
      <c r="A705" s="93">
        <v>38200</v>
      </c>
      <c r="B705" s="94">
        <v>44.94</v>
      </c>
    </row>
    <row r="706" spans="1:2" ht="15.75" customHeight="1">
      <c r="A706" s="93">
        <v>38231</v>
      </c>
      <c r="B706" s="94">
        <v>45.95</v>
      </c>
    </row>
    <row r="707" spans="1:2" ht="15.75" customHeight="1">
      <c r="A707" s="93">
        <v>38261</v>
      </c>
      <c r="B707" s="94">
        <v>53.13</v>
      </c>
    </row>
    <row r="708" spans="1:2" ht="15.75" customHeight="1">
      <c r="A708" s="93">
        <v>38292</v>
      </c>
      <c r="B708" s="94">
        <v>48.46</v>
      </c>
    </row>
    <row r="709" spans="1:2" ht="15.75" customHeight="1">
      <c r="A709" s="93">
        <v>38322</v>
      </c>
      <c r="B709" s="94">
        <v>43.33</v>
      </c>
    </row>
    <row r="710" spans="1:2" ht="15.75" customHeight="1">
      <c r="A710" s="93">
        <v>38353</v>
      </c>
      <c r="B710" s="94">
        <v>46.84</v>
      </c>
    </row>
    <row r="711" spans="1:2" ht="15.75" customHeight="1">
      <c r="A711" s="93">
        <v>38384</v>
      </c>
      <c r="B711" s="94">
        <v>47.97</v>
      </c>
    </row>
    <row r="712" spans="1:2" ht="15.75" customHeight="1">
      <c r="A712" s="93">
        <v>38412</v>
      </c>
      <c r="B712" s="94">
        <v>54.31</v>
      </c>
    </row>
    <row r="713" spans="1:2" ht="15.75" customHeight="1">
      <c r="A713" s="93">
        <v>38443</v>
      </c>
      <c r="B713" s="94">
        <v>53.04</v>
      </c>
    </row>
    <row r="714" spans="1:2" ht="15.75" customHeight="1">
      <c r="A714" s="93">
        <v>38473</v>
      </c>
      <c r="B714" s="94">
        <v>49.83</v>
      </c>
    </row>
    <row r="715" spans="1:2" ht="15.75" customHeight="1">
      <c r="A715" s="93">
        <v>38504</v>
      </c>
      <c r="B715" s="94">
        <v>56.26</v>
      </c>
    </row>
    <row r="716" spans="1:2" ht="15.75" customHeight="1">
      <c r="A716" s="93">
        <v>38534</v>
      </c>
      <c r="B716" s="94">
        <v>58.7</v>
      </c>
    </row>
    <row r="717" spans="1:2" ht="15.75" customHeight="1">
      <c r="A717" s="93">
        <v>38565</v>
      </c>
      <c r="B717" s="94">
        <v>64.97</v>
      </c>
    </row>
    <row r="718" spans="1:2" ht="15.75" customHeight="1">
      <c r="A718" s="93">
        <v>38596</v>
      </c>
      <c r="B718" s="94">
        <v>65.569999999999993</v>
      </c>
    </row>
    <row r="719" spans="1:2" ht="15.75" customHeight="1">
      <c r="A719" s="93">
        <v>38626</v>
      </c>
      <c r="B719" s="94">
        <v>62.37</v>
      </c>
    </row>
    <row r="720" spans="1:2" ht="15.75" customHeight="1">
      <c r="A720" s="93">
        <v>38657</v>
      </c>
      <c r="B720" s="94">
        <v>58.3</v>
      </c>
    </row>
    <row r="721" spans="1:2" ht="15.75" customHeight="1">
      <c r="A721" s="93">
        <v>38687</v>
      </c>
      <c r="B721" s="94">
        <v>59.43</v>
      </c>
    </row>
    <row r="722" spans="1:2" ht="15.75" customHeight="1">
      <c r="A722" s="93">
        <v>38718</v>
      </c>
      <c r="B722" s="94">
        <v>65.510000000000005</v>
      </c>
    </row>
    <row r="723" spans="1:2" ht="15.75" customHeight="1">
      <c r="A723" s="93">
        <v>38749</v>
      </c>
      <c r="B723" s="94">
        <v>61.63</v>
      </c>
    </row>
    <row r="724" spans="1:2" ht="15.75" customHeight="1">
      <c r="A724" s="93">
        <v>38777</v>
      </c>
      <c r="B724" s="94">
        <v>62.9</v>
      </c>
    </row>
    <row r="725" spans="1:2" ht="15.75" customHeight="1">
      <c r="A725" s="93">
        <v>38808</v>
      </c>
      <c r="B725" s="94">
        <v>69.69</v>
      </c>
    </row>
    <row r="726" spans="1:2" ht="15.75" customHeight="1">
      <c r="A726" s="93">
        <v>38838</v>
      </c>
      <c r="B726" s="94">
        <v>70.94</v>
      </c>
    </row>
    <row r="727" spans="1:2" ht="15.75" customHeight="1">
      <c r="A727" s="93">
        <v>38869</v>
      </c>
      <c r="B727" s="94">
        <v>70.959999999999994</v>
      </c>
    </row>
    <row r="728" spans="1:2" ht="15.75" customHeight="1">
      <c r="A728" s="93">
        <v>38899</v>
      </c>
      <c r="B728" s="94">
        <v>74.41</v>
      </c>
    </row>
    <row r="729" spans="1:2" ht="15.75" customHeight="1">
      <c r="A729" s="93">
        <v>38930</v>
      </c>
      <c r="B729" s="94">
        <v>73.05</v>
      </c>
    </row>
    <row r="730" spans="1:2" ht="15.75" customHeight="1">
      <c r="A730" s="93">
        <v>38961</v>
      </c>
      <c r="B730" s="94">
        <v>63.87</v>
      </c>
    </row>
    <row r="731" spans="1:2" ht="15.75" customHeight="1">
      <c r="A731" s="93">
        <v>38991</v>
      </c>
      <c r="B731" s="94">
        <v>58.88</v>
      </c>
    </row>
    <row r="732" spans="1:2" ht="15.75" customHeight="1">
      <c r="A732" s="93">
        <v>39022</v>
      </c>
      <c r="B732" s="94">
        <v>59.37</v>
      </c>
    </row>
    <row r="733" spans="1:2" ht="15.75" customHeight="1">
      <c r="A733" s="93">
        <v>39052</v>
      </c>
      <c r="B733" s="94">
        <v>62.03</v>
      </c>
    </row>
    <row r="734" spans="1:2" ht="15.75" customHeight="1">
      <c r="A734" s="93">
        <v>39083</v>
      </c>
      <c r="B734" s="94">
        <v>54.57</v>
      </c>
    </row>
    <row r="735" spans="1:2" ht="15.75" customHeight="1">
      <c r="A735" s="93">
        <v>39114</v>
      </c>
      <c r="B735" s="94">
        <v>59.26</v>
      </c>
    </row>
    <row r="736" spans="1:2" ht="15.75" customHeight="1">
      <c r="A736" s="93">
        <v>39142</v>
      </c>
      <c r="B736" s="94">
        <v>60.56</v>
      </c>
    </row>
    <row r="737" spans="1:2" ht="15.75" customHeight="1">
      <c r="A737" s="93">
        <v>39173</v>
      </c>
      <c r="B737" s="94">
        <v>63.97</v>
      </c>
    </row>
    <row r="738" spans="1:2" ht="15.75" customHeight="1">
      <c r="A738" s="93">
        <v>39203</v>
      </c>
      <c r="B738" s="94">
        <v>63.46</v>
      </c>
    </row>
    <row r="739" spans="1:2" ht="15.75" customHeight="1">
      <c r="A739" s="93">
        <v>39234</v>
      </c>
      <c r="B739" s="94">
        <v>67.48</v>
      </c>
    </row>
    <row r="740" spans="1:2" ht="15.75" customHeight="1">
      <c r="A740" s="93">
        <v>39264</v>
      </c>
      <c r="B740" s="94">
        <v>74.180000000000007</v>
      </c>
    </row>
    <row r="741" spans="1:2" ht="15.75" customHeight="1">
      <c r="A741" s="93">
        <v>39295</v>
      </c>
      <c r="B741" s="94">
        <v>72.39</v>
      </c>
    </row>
    <row r="742" spans="1:2" ht="15.75" customHeight="1">
      <c r="A742" s="93">
        <v>39326</v>
      </c>
      <c r="B742" s="94">
        <v>79.930000000000007</v>
      </c>
    </row>
    <row r="743" spans="1:2" ht="15.75" customHeight="1">
      <c r="A743" s="93">
        <v>39356</v>
      </c>
      <c r="B743" s="94">
        <v>86.2</v>
      </c>
    </row>
    <row r="744" spans="1:2" ht="15.75" customHeight="1">
      <c r="A744" s="93">
        <v>39387</v>
      </c>
      <c r="B744" s="94">
        <v>94.62</v>
      </c>
    </row>
    <row r="745" spans="1:2" ht="15.75" customHeight="1">
      <c r="A745" s="93">
        <v>39417</v>
      </c>
      <c r="B745" s="94">
        <v>91.73</v>
      </c>
    </row>
    <row r="746" spans="1:2" ht="15.75" customHeight="1">
      <c r="A746" s="93">
        <v>39448</v>
      </c>
      <c r="B746" s="94">
        <v>92.95</v>
      </c>
    </row>
    <row r="747" spans="1:2" ht="15.75" customHeight="1">
      <c r="A747" s="93">
        <v>39479</v>
      </c>
      <c r="B747" s="94">
        <v>95.35</v>
      </c>
    </row>
    <row r="748" spans="1:2" ht="15.75" customHeight="1">
      <c r="A748" s="93">
        <v>39508</v>
      </c>
      <c r="B748" s="94">
        <v>105.56</v>
      </c>
    </row>
    <row r="749" spans="1:2" ht="15.75" customHeight="1">
      <c r="A749" s="93">
        <v>39539</v>
      </c>
      <c r="B749" s="94">
        <v>112.57</v>
      </c>
    </row>
    <row r="750" spans="1:2" ht="15.75" customHeight="1">
      <c r="A750" s="93">
        <v>39569</v>
      </c>
      <c r="B750" s="94">
        <v>125.39</v>
      </c>
    </row>
    <row r="751" spans="1:2" ht="15.75" customHeight="1">
      <c r="A751" s="93">
        <v>39600</v>
      </c>
      <c r="B751" s="94">
        <v>133.93</v>
      </c>
    </row>
    <row r="752" spans="1:2" ht="15.75" customHeight="1">
      <c r="A752" s="93">
        <v>39630</v>
      </c>
      <c r="B752" s="94">
        <v>133.44</v>
      </c>
    </row>
    <row r="753" spans="1:2" ht="15.75" customHeight="1">
      <c r="A753" s="93">
        <v>39661</v>
      </c>
      <c r="B753" s="94">
        <v>116.61</v>
      </c>
    </row>
    <row r="754" spans="1:2" ht="15.75" customHeight="1">
      <c r="A754" s="93">
        <v>39692</v>
      </c>
      <c r="B754" s="94">
        <v>103.9</v>
      </c>
    </row>
    <row r="755" spans="1:2" ht="15.75" customHeight="1">
      <c r="A755" s="93">
        <v>39722</v>
      </c>
      <c r="B755" s="94">
        <v>76.650000000000006</v>
      </c>
    </row>
    <row r="756" spans="1:2" ht="15.75" customHeight="1">
      <c r="A756" s="93">
        <v>39753</v>
      </c>
      <c r="B756" s="94">
        <v>57.44</v>
      </c>
    </row>
    <row r="757" spans="1:2" ht="15.75" customHeight="1">
      <c r="A757" s="93">
        <v>39783</v>
      </c>
      <c r="B757" s="94">
        <v>41.02</v>
      </c>
    </row>
    <row r="758" spans="1:2" ht="15.75" customHeight="1">
      <c r="A758" s="93">
        <v>39814</v>
      </c>
      <c r="B758" s="94">
        <v>41.74</v>
      </c>
    </row>
    <row r="759" spans="1:2" ht="15.75" customHeight="1">
      <c r="A759" s="93">
        <v>39845</v>
      </c>
      <c r="B759" s="94">
        <v>39.159999999999997</v>
      </c>
    </row>
    <row r="760" spans="1:2" ht="15.75" customHeight="1">
      <c r="A760" s="93">
        <v>39873</v>
      </c>
      <c r="B760" s="94">
        <v>47.98</v>
      </c>
    </row>
    <row r="761" spans="1:2" ht="15.75" customHeight="1">
      <c r="A761" s="93">
        <v>39904</v>
      </c>
      <c r="B761" s="94">
        <v>49.79</v>
      </c>
    </row>
    <row r="762" spans="1:2" ht="15.75" customHeight="1">
      <c r="A762" s="93">
        <v>39934</v>
      </c>
      <c r="B762" s="94">
        <v>59.16</v>
      </c>
    </row>
    <row r="763" spans="1:2" ht="15.75" customHeight="1">
      <c r="A763" s="93">
        <v>39965</v>
      </c>
      <c r="B763" s="94">
        <v>69.680000000000007</v>
      </c>
    </row>
    <row r="764" spans="1:2" ht="15.75" customHeight="1">
      <c r="A764" s="93">
        <v>39995</v>
      </c>
      <c r="B764" s="94">
        <v>64.09</v>
      </c>
    </row>
    <row r="765" spans="1:2" ht="15.75" customHeight="1">
      <c r="A765" s="93">
        <v>40026</v>
      </c>
      <c r="B765" s="94">
        <v>71.06</v>
      </c>
    </row>
    <row r="766" spans="1:2" ht="15.75" customHeight="1">
      <c r="A766" s="93">
        <v>40057</v>
      </c>
      <c r="B766" s="94">
        <v>69.459999999999994</v>
      </c>
    </row>
    <row r="767" spans="1:2" ht="15.75" customHeight="1">
      <c r="A767" s="93">
        <v>40087</v>
      </c>
      <c r="B767" s="94">
        <v>75.819999999999993</v>
      </c>
    </row>
    <row r="768" spans="1:2" ht="15.75" customHeight="1">
      <c r="A768" s="93">
        <v>40118</v>
      </c>
      <c r="B768" s="94">
        <v>78.08</v>
      </c>
    </row>
    <row r="769" spans="1:2" ht="15.75" customHeight="1">
      <c r="A769" s="93">
        <v>40148</v>
      </c>
      <c r="B769" s="94">
        <v>74.3</v>
      </c>
    </row>
    <row r="770" spans="1:2" ht="15.75" customHeight="1">
      <c r="A770" s="93">
        <v>40179</v>
      </c>
      <c r="B770" s="94">
        <v>78.22</v>
      </c>
    </row>
    <row r="771" spans="1:2" ht="15.75" customHeight="1">
      <c r="A771" s="93">
        <v>40210</v>
      </c>
      <c r="B771" s="94">
        <v>76.42</v>
      </c>
    </row>
    <row r="772" spans="1:2" ht="15.75" customHeight="1">
      <c r="A772" s="93">
        <v>40238</v>
      </c>
      <c r="B772" s="94">
        <v>81.239999999999995</v>
      </c>
    </row>
    <row r="773" spans="1:2" ht="15.75" customHeight="1">
      <c r="A773" s="93">
        <v>40269</v>
      </c>
      <c r="B773" s="94">
        <v>84.48</v>
      </c>
    </row>
    <row r="774" spans="1:2" ht="15.75" customHeight="1">
      <c r="A774" s="93">
        <v>40299</v>
      </c>
      <c r="B774" s="94">
        <v>73.84</v>
      </c>
    </row>
    <row r="775" spans="1:2" ht="15.75" customHeight="1">
      <c r="A775" s="93">
        <v>40330</v>
      </c>
      <c r="B775" s="94">
        <v>75.349999999999994</v>
      </c>
    </row>
    <row r="776" spans="1:2" ht="15.75" customHeight="1">
      <c r="A776" s="93">
        <v>40360</v>
      </c>
      <c r="B776" s="94">
        <v>76.37</v>
      </c>
    </row>
    <row r="777" spans="1:2" ht="15.75" customHeight="1">
      <c r="A777" s="93">
        <v>40391</v>
      </c>
      <c r="B777" s="94">
        <v>76.819999999999993</v>
      </c>
    </row>
    <row r="778" spans="1:2" ht="15.75" customHeight="1">
      <c r="A778" s="93">
        <v>40422</v>
      </c>
      <c r="B778" s="94">
        <v>75.31</v>
      </c>
    </row>
    <row r="779" spans="1:2" ht="15.75" customHeight="1">
      <c r="A779" s="93">
        <v>40452</v>
      </c>
      <c r="B779" s="94">
        <v>81.900000000000006</v>
      </c>
    </row>
    <row r="780" spans="1:2" ht="15.75" customHeight="1">
      <c r="A780" s="93">
        <v>40483</v>
      </c>
      <c r="B780" s="94">
        <v>84.14</v>
      </c>
    </row>
    <row r="781" spans="1:2" ht="15.75" customHeight="1">
      <c r="A781" s="93">
        <v>40513</v>
      </c>
      <c r="B781" s="94">
        <v>89.04</v>
      </c>
    </row>
    <row r="782" spans="1:2" ht="15.75" customHeight="1">
      <c r="A782" s="93">
        <v>40544</v>
      </c>
      <c r="B782" s="94">
        <v>89.42</v>
      </c>
    </row>
    <row r="783" spans="1:2" ht="15.75" customHeight="1">
      <c r="A783" s="93">
        <v>40575</v>
      </c>
      <c r="B783" s="94">
        <v>89.58</v>
      </c>
    </row>
    <row r="784" spans="1:2" ht="15.75" customHeight="1">
      <c r="A784" s="93">
        <v>40603</v>
      </c>
      <c r="B784" s="94">
        <v>102.94</v>
      </c>
    </row>
    <row r="785" spans="1:2" ht="15.75" customHeight="1">
      <c r="A785" s="93">
        <v>40634</v>
      </c>
      <c r="B785" s="94">
        <v>110.04</v>
      </c>
    </row>
    <row r="786" spans="1:2" ht="15.75" customHeight="1">
      <c r="A786" s="93">
        <v>40664</v>
      </c>
      <c r="B786" s="94">
        <v>101.33</v>
      </c>
    </row>
    <row r="787" spans="1:2" ht="15.75" customHeight="1">
      <c r="A787" s="93">
        <v>40695</v>
      </c>
      <c r="B787" s="94">
        <v>96.29</v>
      </c>
    </row>
    <row r="788" spans="1:2" ht="15.75" customHeight="1">
      <c r="A788" s="93">
        <v>40725</v>
      </c>
      <c r="B788" s="94">
        <v>97.19</v>
      </c>
    </row>
    <row r="789" spans="1:2" ht="15.75" customHeight="1">
      <c r="A789" s="93">
        <v>40756</v>
      </c>
      <c r="B789" s="94">
        <v>86.33</v>
      </c>
    </row>
    <row r="790" spans="1:2" ht="15.75" customHeight="1">
      <c r="A790" s="93">
        <v>40787</v>
      </c>
      <c r="B790" s="94">
        <v>85.61</v>
      </c>
    </row>
    <row r="791" spans="1:2" ht="15.75" customHeight="1">
      <c r="A791" s="93">
        <v>40817</v>
      </c>
      <c r="B791" s="94">
        <v>86.41</v>
      </c>
    </row>
    <row r="792" spans="1:2" ht="15.75" customHeight="1">
      <c r="A792" s="93">
        <v>40848</v>
      </c>
      <c r="B792" s="94">
        <v>97.21</v>
      </c>
    </row>
    <row r="793" spans="1:2" ht="15.75" customHeight="1">
      <c r="A793" s="93">
        <v>40878</v>
      </c>
      <c r="B793" s="94">
        <v>98.57</v>
      </c>
    </row>
    <row r="794" spans="1:2" ht="15.75" customHeight="1">
      <c r="A794" s="93">
        <v>40909</v>
      </c>
      <c r="B794" s="94">
        <v>100.24</v>
      </c>
    </row>
    <row r="795" spans="1:2" ht="15.75" customHeight="1">
      <c r="A795" s="93">
        <v>40940</v>
      </c>
      <c r="B795" s="94">
        <v>102.25</v>
      </c>
    </row>
    <row r="796" spans="1:2" ht="15.75" customHeight="1">
      <c r="A796" s="93">
        <v>40969</v>
      </c>
      <c r="B796" s="94">
        <v>106.19</v>
      </c>
    </row>
    <row r="797" spans="1:2" ht="15.75" customHeight="1">
      <c r="A797" s="93">
        <v>41000</v>
      </c>
      <c r="B797" s="94">
        <v>103.33</v>
      </c>
    </row>
    <row r="798" spans="1:2" ht="15.75" customHeight="1">
      <c r="A798" s="93">
        <v>41030</v>
      </c>
      <c r="B798" s="94">
        <v>94.7</v>
      </c>
    </row>
    <row r="799" spans="1:2" ht="15.75" customHeight="1">
      <c r="A799" s="93">
        <v>41061</v>
      </c>
      <c r="B799" s="94">
        <v>82.41</v>
      </c>
    </row>
    <row r="800" spans="1:2" ht="15.75" customHeight="1">
      <c r="A800" s="93">
        <v>41091</v>
      </c>
      <c r="B800" s="94">
        <v>87.93</v>
      </c>
    </row>
    <row r="801" spans="1:2" ht="15.75" customHeight="1">
      <c r="A801" s="93">
        <v>41122</v>
      </c>
      <c r="B801" s="94">
        <v>94.16</v>
      </c>
    </row>
    <row r="802" spans="1:2" ht="15.75" customHeight="1">
      <c r="A802" s="93">
        <v>41153</v>
      </c>
      <c r="B802" s="94">
        <v>94.72</v>
      </c>
    </row>
    <row r="803" spans="1:2" ht="15.75" customHeight="1">
      <c r="A803" s="93">
        <v>41183</v>
      </c>
      <c r="B803" s="94">
        <v>89.57</v>
      </c>
    </row>
    <row r="804" spans="1:2" ht="15.75" customHeight="1">
      <c r="A804" s="93">
        <v>41214</v>
      </c>
      <c r="B804" s="94">
        <v>86.66</v>
      </c>
    </row>
    <row r="805" spans="1:2" ht="15.75" customHeight="1">
      <c r="A805" s="93">
        <v>41244</v>
      </c>
      <c r="B805" s="94">
        <v>88.25</v>
      </c>
    </row>
    <row r="806" spans="1:2" ht="15.75" customHeight="1">
      <c r="A806" s="93">
        <v>41275</v>
      </c>
      <c r="B806" s="94">
        <v>94.69</v>
      </c>
    </row>
    <row r="807" spans="1:2" ht="15.75" customHeight="1">
      <c r="A807" s="93">
        <v>41306</v>
      </c>
      <c r="B807" s="94">
        <v>95.32</v>
      </c>
    </row>
    <row r="808" spans="1:2" ht="15.75" customHeight="1">
      <c r="A808" s="93">
        <v>41334</v>
      </c>
      <c r="B808" s="94">
        <v>93.05</v>
      </c>
    </row>
    <row r="809" spans="1:2" ht="15.75" customHeight="1">
      <c r="A809" s="93">
        <v>41365</v>
      </c>
      <c r="B809" s="94">
        <v>92.07</v>
      </c>
    </row>
    <row r="810" spans="1:2" ht="15.75" customHeight="1">
      <c r="A810" s="93">
        <v>41395</v>
      </c>
      <c r="B810" s="94">
        <v>94.8</v>
      </c>
    </row>
    <row r="811" spans="1:2" ht="15.75" customHeight="1">
      <c r="A811" s="93">
        <v>41426</v>
      </c>
      <c r="B811" s="94">
        <v>95.8</v>
      </c>
    </row>
    <row r="812" spans="1:2" ht="15.75" customHeight="1">
      <c r="A812" s="93">
        <v>41456</v>
      </c>
      <c r="B812" s="94">
        <v>104.61</v>
      </c>
    </row>
    <row r="813" spans="1:2" ht="15.75" customHeight="1">
      <c r="A813" s="93">
        <v>41487</v>
      </c>
      <c r="B813" s="94">
        <v>106.57</v>
      </c>
    </row>
    <row r="814" spans="1:2" ht="15.75" customHeight="1">
      <c r="A814" s="93">
        <v>41518</v>
      </c>
      <c r="B814" s="94">
        <v>106.29</v>
      </c>
    </row>
    <row r="815" spans="1:2" ht="15.75" customHeight="1">
      <c r="A815" s="93">
        <v>41548</v>
      </c>
      <c r="B815" s="94">
        <v>100.54</v>
      </c>
    </row>
    <row r="816" spans="1:2" ht="15.75" customHeight="1">
      <c r="A816" s="93">
        <v>41579</v>
      </c>
      <c r="B816" s="94">
        <v>93.86</v>
      </c>
    </row>
    <row r="817" spans="1:2" ht="15.75" customHeight="1">
      <c r="A817" s="93">
        <v>41609</v>
      </c>
      <c r="B817" s="94">
        <v>97.63</v>
      </c>
    </row>
    <row r="818" spans="1:2" ht="15.75" customHeight="1">
      <c r="A818" s="93">
        <v>41640</v>
      </c>
      <c r="B818" s="94">
        <v>94.62</v>
      </c>
    </row>
    <row r="819" spans="1:2" ht="15.75" customHeight="1">
      <c r="A819" s="93">
        <v>41671</v>
      </c>
      <c r="B819" s="94">
        <v>100.82</v>
      </c>
    </row>
    <row r="820" spans="1:2" ht="15.75" customHeight="1">
      <c r="A820" s="93">
        <v>41699</v>
      </c>
      <c r="B820" s="94">
        <v>100.8</v>
      </c>
    </row>
    <row r="821" spans="1:2" ht="15.75" customHeight="1">
      <c r="A821" s="93">
        <v>41730</v>
      </c>
      <c r="B821" s="94">
        <v>102.07</v>
      </c>
    </row>
    <row r="822" spans="1:2" ht="15.75" customHeight="1">
      <c r="A822" s="93">
        <v>41760</v>
      </c>
      <c r="B822" s="94">
        <v>102.18</v>
      </c>
    </row>
    <row r="823" spans="1:2" ht="15.75" customHeight="1">
      <c r="A823" s="93">
        <v>41791</v>
      </c>
      <c r="B823" s="94">
        <v>105.79</v>
      </c>
    </row>
    <row r="824" spans="1:2" ht="15.75" customHeight="1">
      <c r="A824" s="93">
        <v>41821</v>
      </c>
      <c r="B824" s="94">
        <v>103.59</v>
      </c>
    </row>
    <row r="825" spans="1:2" ht="15.75" customHeight="1">
      <c r="A825" s="93">
        <v>41852</v>
      </c>
      <c r="B825" s="94">
        <v>96.54</v>
      </c>
    </row>
    <row r="826" spans="1:2" ht="15.75" customHeight="1">
      <c r="A826" s="93">
        <v>41883</v>
      </c>
      <c r="B826" s="94">
        <v>93.21</v>
      </c>
    </row>
    <row r="827" spans="1:2" ht="15.75" customHeight="1">
      <c r="A827" s="93">
        <v>41913</v>
      </c>
      <c r="B827" s="94">
        <v>84.4</v>
      </c>
    </row>
    <row r="828" spans="1:2" ht="15.75" customHeight="1">
      <c r="A828" s="93">
        <v>41944</v>
      </c>
      <c r="B828" s="94">
        <v>75.790000000000006</v>
      </c>
    </row>
    <row r="829" spans="1:2" ht="15.75" customHeight="1">
      <c r="A829" s="93">
        <v>41974</v>
      </c>
      <c r="B829" s="94">
        <v>59.29</v>
      </c>
    </row>
    <row r="830" spans="1:2" ht="15.75" customHeight="1">
      <c r="A830" s="93">
        <v>42005</v>
      </c>
      <c r="B830" s="94">
        <v>47.22</v>
      </c>
    </row>
    <row r="831" spans="1:2" ht="15.75" customHeight="1">
      <c r="A831" s="93">
        <v>42036</v>
      </c>
      <c r="B831" s="94">
        <v>50.58</v>
      </c>
    </row>
    <row r="832" spans="1:2" ht="15.75" customHeight="1">
      <c r="A832" s="93">
        <v>42064</v>
      </c>
      <c r="B832" s="94">
        <v>47.82</v>
      </c>
    </row>
    <row r="833" spans="1:2" ht="15.75" customHeight="1">
      <c r="A833" s="93">
        <v>42095</v>
      </c>
      <c r="B833" s="94">
        <v>54.45</v>
      </c>
    </row>
    <row r="834" spans="1:2" ht="15.75" customHeight="1">
      <c r="A834" s="93">
        <v>42125</v>
      </c>
      <c r="B834" s="94">
        <v>59.27</v>
      </c>
    </row>
    <row r="835" spans="1:2" ht="15.75" customHeight="1">
      <c r="A835" s="93">
        <v>42156</v>
      </c>
      <c r="B835" s="94">
        <v>59.82</v>
      </c>
    </row>
    <row r="836" spans="1:2" ht="15.75" customHeight="1">
      <c r="A836" s="93">
        <v>42186</v>
      </c>
      <c r="B836" s="94">
        <v>50.9</v>
      </c>
    </row>
    <row r="837" spans="1:2" ht="15.75" customHeight="1">
      <c r="A837" s="93">
        <v>42217</v>
      </c>
      <c r="B837" s="94">
        <v>42.87</v>
      </c>
    </row>
    <row r="838" spans="1:2" ht="15.75" customHeight="1">
      <c r="A838" s="93">
        <v>42248</v>
      </c>
      <c r="B838" s="94">
        <v>45.48</v>
      </c>
    </row>
    <row r="839" spans="1:2" ht="15.75" customHeight="1">
      <c r="A839" s="93">
        <v>42278</v>
      </c>
      <c r="B839" s="94">
        <v>46.22</v>
      </c>
    </row>
    <row r="840" spans="1:2" ht="15.75" customHeight="1">
      <c r="A840" s="93">
        <v>42309</v>
      </c>
      <c r="B840" s="94">
        <v>42.44</v>
      </c>
    </row>
    <row r="841" spans="1:2" ht="15.75" customHeight="1">
      <c r="A841" s="93">
        <v>42339</v>
      </c>
      <c r="B841" s="94">
        <v>37.19</v>
      </c>
    </row>
    <row r="842" spans="1:2" ht="15.75" customHeight="1">
      <c r="A842" s="93">
        <v>42370</v>
      </c>
      <c r="B842" s="94">
        <v>31.68</v>
      </c>
    </row>
    <row r="843" spans="1:2" ht="15.75" customHeight="1">
      <c r="A843" s="93">
        <v>42401</v>
      </c>
      <c r="B843" s="94">
        <v>30.32</v>
      </c>
    </row>
    <row r="844" spans="1:2" ht="15.75" customHeight="1">
      <c r="A844" s="93">
        <v>42430</v>
      </c>
      <c r="B844" s="94">
        <v>37.549999999999997</v>
      </c>
    </row>
    <row r="845" spans="1:2" ht="15.75" customHeight="1">
      <c r="A845" s="93">
        <v>42461</v>
      </c>
      <c r="B845" s="94">
        <v>40.75</v>
      </c>
    </row>
    <row r="846" spans="1:2" ht="15.75" customHeight="1">
      <c r="A846" s="93">
        <v>42491</v>
      </c>
      <c r="B846" s="94">
        <v>46.71</v>
      </c>
    </row>
    <row r="847" spans="1:2" ht="15.75" customHeight="1">
      <c r="A847" s="93">
        <v>42522</v>
      </c>
      <c r="B847" s="94">
        <v>48.76</v>
      </c>
    </row>
    <row r="848" spans="1:2" ht="15.75" customHeight="1">
      <c r="A848" s="93">
        <v>42552</v>
      </c>
      <c r="B848" s="94">
        <v>44.65</v>
      </c>
    </row>
    <row r="849" spans="1:2" ht="15.75" customHeight="1">
      <c r="A849" s="93">
        <v>42583</v>
      </c>
      <c r="B849" s="94">
        <v>44.72</v>
      </c>
    </row>
    <row r="850" spans="1:2" ht="15.75" customHeight="1">
      <c r="A850" s="93">
        <v>42614</v>
      </c>
      <c r="B850" s="94">
        <v>45.18</v>
      </c>
    </row>
    <row r="851" spans="1:2" ht="15.75" customHeight="1">
      <c r="A851" s="93">
        <v>42644</v>
      </c>
      <c r="B851" s="94">
        <v>49.78</v>
      </c>
    </row>
    <row r="852" spans="1:2" ht="15.75" customHeight="1">
      <c r="A852" s="93">
        <v>42675</v>
      </c>
      <c r="B852" s="94">
        <v>45.66</v>
      </c>
    </row>
    <row r="853" spans="1:2" ht="15.75" customHeight="1">
      <c r="A853" s="93">
        <v>42705</v>
      </c>
      <c r="B853" s="94">
        <v>51.97</v>
      </c>
    </row>
    <row r="854" spans="1:2" ht="15.75" customHeight="1">
      <c r="A854" s="93">
        <v>42736</v>
      </c>
      <c r="B854" s="94">
        <v>52.5</v>
      </c>
    </row>
    <row r="855" spans="1:2" ht="15.75" customHeight="1">
      <c r="A855" s="93">
        <v>42767</v>
      </c>
      <c r="B855" s="94">
        <v>53.47</v>
      </c>
    </row>
    <row r="856" spans="1:2" ht="15.75" customHeight="1">
      <c r="A856" s="93">
        <v>42795</v>
      </c>
      <c r="B856" s="94">
        <v>49.33</v>
      </c>
    </row>
    <row r="857" spans="1:2" ht="15.75" customHeight="1">
      <c r="A857" s="93">
        <v>42826</v>
      </c>
      <c r="B857" s="94">
        <v>51.06</v>
      </c>
    </row>
    <row r="858" spans="1:2" ht="15.75" customHeight="1">
      <c r="A858" s="93">
        <v>42856</v>
      </c>
      <c r="B858" s="94">
        <v>48.48</v>
      </c>
    </row>
    <row r="859" spans="1:2" ht="15.75" customHeight="1">
      <c r="A859" s="93">
        <v>42887</v>
      </c>
      <c r="B859" s="94">
        <v>45.18</v>
      </c>
    </row>
    <row r="860" spans="1:2" ht="15.75" customHeight="1">
      <c r="A860" s="93">
        <v>42917</v>
      </c>
      <c r="B860" s="94">
        <v>46.63</v>
      </c>
    </row>
    <row r="861" spans="1:2" ht="15.75" customHeight="1">
      <c r="A861" s="93">
        <v>42948</v>
      </c>
      <c r="B861" s="94">
        <v>48.04</v>
      </c>
    </row>
    <row r="862" spans="1:2" ht="15.75" customHeight="1">
      <c r="A862" s="93">
        <v>42979</v>
      </c>
      <c r="B862" s="94">
        <v>49.82</v>
      </c>
    </row>
    <row r="863" spans="1:2" ht="15.75" customHeight="1">
      <c r="A863" s="93">
        <v>43009</v>
      </c>
      <c r="B863" s="94">
        <v>51.58</v>
      </c>
    </row>
    <row r="864" spans="1:2" ht="15.75" customHeight="1">
      <c r="A864" s="93">
        <v>43040</v>
      </c>
      <c r="B864" s="94">
        <v>56.64</v>
      </c>
    </row>
    <row r="865" spans="1:2" ht="15.75" customHeight="1">
      <c r="A865" s="93">
        <v>43070</v>
      </c>
      <c r="B865" s="94">
        <v>57.88</v>
      </c>
    </row>
    <row r="866" spans="1:2" ht="15.75" customHeight="1">
      <c r="A866" s="93">
        <v>43101</v>
      </c>
      <c r="B866" s="94">
        <v>63.7</v>
      </c>
    </row>
    <row r="867" spans="1:2" ht="15.75" customHeight="1">
      <c r="A867" s="93">
        <v>43132</v>
      </c>
      <c r="B867" s="94">
        <v>62.23</v>
      </c>
    </row>
    <row r="868" spans="1:2" ht="15.75" customHeight="1">
      <c r="A868" s="93">
        <v>43160</v>
      </c>
      <c r="B868" s="94">
        <v>62.73</v>
      </c>
    </row>
    <row r="869" spans="1:2" ht="15.75" customHeight="1">
      <c r="A869" s="93">
        <v>43191</v>
      </c>
      <c r="B869" s="94">
        <v>66.25</v>
      </c>
    </row>
    <row r="870" spans="1:2" ht="15.75" customHeight="1">
      <c r="A870" s="93">
        <v>43221</v>
      </c>
      <c r="B870" s="94">
        <v>69.98</v>
      </c>
    </row>
    <row r="871" spans="1:2" ht="15.75" customHeight="1">
      <c r="A871" s="93">
        <v>43252</v>
      </c>
      <c r="B871" s="94">
        <v>67.87</v>
      </c>
    </row>
    <row r="872" spans="1:2" ht="15.75" customHeight="1">
      <c r="A872" s="93">
        <v>43282</v>
      </c>
      <c r="B872" s="94">
        <v>70.98</v>
      </c>
    </row>
    <row r="873" spans="1:2" ht="15.75" customHeight="1">
      <c r="A873" s="93">
        <v>43313</v>
      </c>
      <c r="B873" s="94">
        <v>68.06</v>
      </c>
    </row>
    <row r="874" spans="1:2" ht="15.75" customHeight="1">
      <c r="A874" s="93">
        <v>43344</v>
      </c>
      <c r="B874" s="94">
        <v>70.23</v>
      </c>
    </row>
    <row r="875" spans="1:2" ht="15.75" customHeight="1">
      <c r="A875" s="93">
        <v>43374</v>
      </c>
      <c r="B875" s="94">
        <v>70.75</v>
      </c>
    </row>
    <row r="876" spans="1:2" ht="15.75" customHeight="1">
      <c r="A876" s="93">
        <v>43405</v>
      </c>
      <c r="B876" s="94">
        <v>56.96</v>
      </c>
    </row>
    <row r="877" spans="1:2" ht="15.75" customHeight="1">
      <c r="A877" s="93">
        <v>43435</v>
      </c>
      <c r="B877" s="94">
        <v>49.52</v>
      </c>
    </row>
    <row r="878" spans="1:2" ht="15.75" customHeight="1">
      <c r="A878" s="93">
        <v>43466</v>
      </c>
      <c r="B878" s="94">
        <v>51.38</v>
      </c>
    </row>
    <row r="879" spans="1:2" ht="15.75" customHeight="1">
      <c r="A879" s="93">
        <v>43497</v>
      </c>
      <c r="B879" s="94">
        <v>54.95</v>
      </c>
    </row>
    <row r="880" spans="1:2" ht="15.75" customHeight="1">
      <c r="A880" s="93">
        <v>43525</v>
      </c>
      <c r="B880" s="94">
        <v>58.15</v>
      </c>
    </row>
    <row r="881" spans="1:2" ht="15.75" customHeight="1">
      <c r="A881" s="93">
        <v>43556</v>
      </c>
      <c r="B881" s="94">
        <v>63.86</v>
      </c>
    </row>
    <row r="882" spans="1:2" ht="15.75" customHeight="1">
      <c r="A882" s="93">
        <v>43586</v>
      </c>
      <c r="B882" s="94">
        <v>60.83</v>
      </c>
    </row>
    <row r="883" spans="1:2" ht="15.75" customHeight="1">
      <c r="A883" s="93">
        <v>43617</v>
      </c>
      <c r="B883" s="94">
        <v>54.66</v>
      </c>
    </row>
    <row r="884" spans="1:2" ht="15.75" customHeight="1">
      <c r="A884" s="93">
        <v>43647</v>
      </c>
      <c r="B884" s="94">
        <v>57.35</v>
      </c>
    </row>
    <row r="885" spans="1:2" ht="15.75" customHeight="1">
      <c r="A885" s="93">
        <v>43678</v>
      </c>
      <c r="B885" s="94">
        <v>54.81</v>
      </c>
    </row>
    <row r="886" spans="1:2" ht="15.75" customHeight="1">
      <c r="A886" s="93">
        <v>43709</v>
      </c>
      <c r="B886" s="94">
        <v>56.95</v>
      </c>
    </row>
    <row r="887" spans="1:2" ht="15.75" customHeight="1">
      <c r="A887" s="93">
        <v>43739</v>
      </c>
      <c r="B887" s="94">
        <v>53.96</v>
      </c>
    </row>
    <row r="888" spans="1:2" ht="15.75" customHeight="1">
      <c r="A888" s="93">
        <v>43770</v>
      </c>
      <c r="B888" s="94">
        <v>57.03</v>
      </c>
    </row>
    <row r="889" spans="1:2" ht="15.75" customHeight="1">
      <c r="A889" s="93">
        <v>43800</v>
      </c>
      <c r="B889" s="94">
        <v>59.88</v>
      </c>
    </row>
    <row r="890" spans="1:2" ht="15.75" customHeight="1">
      <c r="A890" s="93">
        <v>43831</v>
      </c>
      <c r="B890" s="94">
        <v>57.52</v>
      </c>
    </row>
    <row r="891" spans="1:2" ht="15.75" customHeight="1">
      <c r="A891" s="93">
        <v>43862</v>
      </c>
      <c r="B891" s="94">
        <v>50.54</v>
      </c>
    </row>
    <row r="892" spans="1:2" ht="15.75" customHeight="1">
      <c r="A892" s="93">
        <v>43891</v>
      </c>
      <c r="B892" s="94">
        <v>29.21</v>
      </c>
    </row>
    <row r="893" spans="1:2" ht="15.75" customHeight="1">
      <c r="A893" s="93">
        <v>43922</v>
      </c>
      <c r="B893" s="94">
        <v>16.55</v>
      </c>
    </row>
    <row r="894" spans="1:2" ht="15.75" customHeight="1">
      <c r="A894" s="93">
        <v>43952</v>
      </c>
      <c r="B894" s="94">
        <v>28.56</v>
      </c>
    </row>
    <row r="895" spans="1:2" ht="15.75" customHeight="1">
      <c r="A895" s="93">
        <v>43983</v>
      </c>
      <c r="B895" s="94">
        <v>38.31</v>
      </c>
    </row>
    <row r="896" spans="1:2" ht="15.75" customHeight="1">
      <c r="A896" s="93">
        <v>44013</v>
      </c>
      <c r="B896" s="94">
        <v>40.71</v>
      </c>
    </row>
    <row r="897" spans="1:2" ht="15.75" customHeight="1">
      <c r="A897" s="93">
        <v>44044</v>
      </c>
      <c r="B897" s="94">
        <v>42.34</v>
      </c>
    </row>
    <row r="898" spans="1:2" ht="15.75" customHeight="1">
      <c r="A898" s="93">
        <v>44075</v>
      </c>
      <c r="B898" s="94">
        <v>39.630000000000003</v>
      </c>
    </row>
    <row r="899" spans="1:2" ht="15.75" customHeight="1">
      <c r="A899" s="93">
        <v>44105</v>
      </c>
      <c r="B899" s="94">
        <v>39.4</v>
      </c>
    </row>
    <row r="900" spans="1:2" ht="15.75" customHeight="1">
      <c r="A900" s="93">
        <v>44136</v>
      </c>
      <c r="B900" s="94">
        <v>40.94</v>
      </c>
    </row>
    <row r="901" spans="1:2" ht="15.75" customHeight="1">
      <c r="A901" s="93">
        <v>44166</v>
      </c>
      <c r="B901" s="94">
        <v>47.02</v>
      </c>
    </row>
    <row r="902" spans="1:2" ht="15.75" customHeight="1">
      <c r="A902" s="93">
        <v>44197</v>
      </c>
      <c r="B902" s="94">
        <v>52</v>
      </c>
    </row>
    <row r="903" spans="1:2" ht="15.75" customHeight="1">
      <c r="A903" s="93">
        <v>44228</v>
      </c>
      <c r="B903" s="94">
        <v>59.04</v>
      </c>
    </row>
    <row r="904" spans="1:2" ht="15.75" customHeight="1">
      <c r="A904" s="93">
        <v>44256</v>
      </c>
      <c r="B904" s="94">
        <v>62.33</v>
      </c>
    </row>
    <row r="905" spans="1:2" ht="15.75" customHeight="1">
      <c r="A905" s="93">
        <v>44287</v>
      </c>
      <c r="B905" s="94">
        <v>61.72</v>
      </c>
    </row>
    <row r="906" spans="1:2" ht="15.75" customHeight="1">
      <c r="A906" s="93">
        <v>44317</v>
      </c>
      <c r="B906" s="94">
        <v>65.17</v>
      </c>
    </row>
    <row r="907" spans="1:2" ht="15.75" customHeight="1">
      <c r="A907" s="93">
        <v>44348</v>
      </c>
      <c r="B907" s="94">
        <v>71.38</v>
      </c>
    </row>
    <row r="908" spans="1:2" ht="15.75" customHeight="1">
      <c r="A908" s="93">
        <v>44378</v>
      </c>
      <c r="B908" s="94">
        <v>72.489999999999995</v>
      </c>
    </row>
    <row r="909" spans="1:2" ht="15.75" customHeight="1">
      <c r="A909" s="93">
        <v>44409</v>
      </c>
      <c r="B909" s="94">
        <v>67.73</v>
      </c>
    </row>
    <row r="910" spans="1:2" ht="15.75" customHeight="1">
      <c r="A910" s="93">
        <v>44440</v>
      </c>
      <c r="B910" s="94">
        <v>71.650000000000006</v>
      </c>
    </row>
    <row r="911" spans="1:2" ht="15.75" customHeight="1">
      <c r="A911" s="93">
        <v>44470</v>
      </c>
      <c r="B911" s="94">
        <v>81.48</v>
      </c>
    </row>
    <row r="912" spans="1:2" ht="15.75" customHeight="1">
      <c r="A912" s="93">
        <v>44501</v>
      </c>
      <c r="B912" s="94">
        <v>79.150000000000006</v>
      </c>
    </row>
    <row r="913" spans="1:2" ht="15.75" customHeight="1">
      <c r="A913" s="93">
        <v>44531</v>
      </c>
      <c r="B913" s="94">
        <v>71.709999999999994</v>
      </c>
    </row>
    <row r="914" spans="1:2" ht="15.75" customHeight="1">
      <c r="A914" s="93">
        <v>44562</v>
      </c>
      <c r="B914" s="94">
        <v>83.22</v>
      </c>
    </row>
    <row r="915" spans="1:2" ht="15.75" customHeight="1">
      <c r="A915" s="93">
        <v>44593</v>
      </c>
      <c r="B915" s="94">
        <v>91.64</v>
      </c>
    </row>
    <row r="916" spans="1:2" ht="15.75" customHeight="1">
      <c r="A916" s="93">
        <v>44621</v>
      </c>
      <c r="B916" s="94">
        <v>108.5</v>
      </c>
    </row>
    <row r="917" spans="1:2" ht="15.75" customHeight="1">
      <c r="A917" s="93">
        <v>44652</v>
      </c>
      <c r="B917" s="94">
        <v>101.78</v>
      </c>
    </row>
    <row r="918" spans="1:2" ht="15.75" customHeight="1">
      <c r="A918" s="93">
        <v>44682</v>
      </c>
      <c r="B918" s="94">
        <v>109.55</v>
      </c>
    </row>
    <row r="919" spans="1:2" ht="15.75" customHeight="1">
      <c r="A919" s="93">
        <v>44713</v>
      </c>
      <c r="B919" s="94">
        <v>114.84</v>
      </c>
    </row>
    <row r="920" spans="1:2" ht="15.75" customHeight="1">
      <c r="A920" s="93">
        <v>44743</v>
      </c>
      <c r="B920" s="94">
        <v>101.62</v>
      </c>
    </row>
    <row r="921" spans="1:2" ht="15.75" customHeight="1">
      <c r="A921" s="93">
        <v>44774</v>
      </c>
      <c r="B921" s="94">
        <v>93.67</v>
      </c>
    </row>
    <row r="922" spans="1:2" ht="15.75" customHeight="1">
      <c r="A922" s="93">
        <v>44805</v>
      </c>
      <c r="B922" s="94">
        <v>84.26</v>
      </c>
    </row>
    <row r="923" spans="1:2" ht="15.75" customHeight="1">
      <c r="A923" s="93">
        <v>44835</v>
      </c>
      <c r="B923" s="94">
        <v>87.55</v>
      </c>
    </row>
    <row r="924" spans="1:2" ht="15.75" customHeight="1">
      <c r="A924" s="93">
        <v>44866</v>
      </c>
      <c r="B924" s="94">
        <v>84.37</v>
      </c>
    </row>
    <row r="925" spans="1:2" ht="15.75" customHeight="1">
      <c r="A925" s="93">
        <v>44896</v>
      </c>
      <c r="B925" s="94">
        <v>76.44</v>
      </c>
    </row>
    <row r="926" spans="1:2" ht="15.75" customHeight="1">
      <c r="A926" s="93">
        <v>44927</v>
      </c>
      <c r="B926" s="94">
        <v>78.12</v>
      </c>
    </row>
    <row r="927" spans="1:2" ht="15.75" customHeight="1">
      <c r="A927" s="93">
        <v>44958</v>
      </c>
      <c r="B927" s="94">
        <v>76.83</v>
      </c>
    </row>
    <row r="928" spans="1:2" ht="15.75" customHeight="1">
      <c r="A928" s="93">
        <v>44986</v>
      </c>
      <c r="B928" s="94">
        <v>73.28</v>
      </c>
    </row>
    <row r="929" spans="1:2" ht="15.75" customHeight="1">
      <c r="A929" s="93">
        <v>45017</v>
      </c>
      <c r="B929" s="94">
        <v>79.45</v>
      </c>
    </row>
    <row r="930" spans="1:2" ht="15.75" customHeight="1">
      <c r="A930" s="93">
        <v>45047</v>
      </c>
      <c r="B930" s="94">
        <v>71.58</v>
      </c>
    </row>
    <row r="931" spans="1:2" ht="15.75" customHeight="1">
      <c r="A931" s="93">
        <v>45078</v>
      </c>
      <c r="B931" s="94">
        <v>70.25</v>
      </c>
    </row>
    <row r="932" spans="1:2" ht="15.75" customHeight="1">
      <c r="A932" s="93">
        <v>45108</v>
      </c>
      <c r="B932" s="94">
        <v>76.069999999999993</v>
      </c>
    </row>
    <row r="933" spans="1:2" ht="15.75" customHeight="1">
      <c r="A933" s="93">
        <v>45139</v>
      </c>
      <c r="B933" s="94">
        <v>81.39</v>
      </c>
    </row>
    <row r="934" spans="1:2" ht="15.75" customHeight="1">
      <c r="A934" s="93">
        <v>45170</v>
      </c>
      <c r="B934" s="94">
        <v>89.43</v>
      </c>
    </row>
    <row r="935" spans="1:2" ht="15.75" customHeight="1">
      <c r="A935" s="93">
        <v>45200</v>
      </c>
      <c r="B935" s="94">
        <v>85.64</v>
      </c>
    </row>
    <row r="936" spans="1:2" ht="15.75" customHeight="1">
      <c r="A936" s="93">
        <v>45231</v>
      </c>
      <c r="B936" s="94">
        <v>77.69</v>
      </c>
    </row>
    <row r="937" spans="1:2" ht="15.75" customHeight="1">
      <c r="A937" s="93">
        <v>45261</v>
      </c>
      <c r="B937" s="94">
        <v>71.900000000000006</v>
      </c>
    </row>
    <row r="938" spans="1:2" ht="15.75" customHeight="1">
      <c r="A938" s="93">
        <v>45292</v>
      </c>
      <c r="B938" s="94">
        <v>74.150000000000006</v>
      </c>
    </row>
    <row r="939" spans="1:2" ht="15.75" customHeight="1">
      <c r="A939" s="93">
        <v>45323</v>
      </c>
      <c r="B939" s="94">
        <v>77.25</v>
      </c>
    </row>
    <row r="940" spans="1:2" ht="15.75" customHeight="1">
      <c r="A940" s="93">
        <v>45352</v>
      </c>
      <c r="B940" s="94">
        <v>81.28</v>
      </c>
    </row>
    <row r="941" spans="1:2" ht="15.75" customHeight="1">
      <c r="A941" s="93">
        <v>45383</v>
      </c>
      <c r="B941" s="94">
        <v>85.35</v>
      </c>
    </row>
    <row r="942" spans="1:2" ht="15.75" customHeight="1">
      <c r="A942" s="93">
        <v>45413</v>
      </c>
      <c r="B942" s="94">
        <v>80.02</v>
      </c>
    </row>
    <row r="943" spans="1:2" ht="15.75" customHeight="1">
      <c r="A943" s="93">
        <v>45444</v>
      </c>
      <c r="B943" s="94">
        <v>79.77</v>
      </c>
    </row>
    <row r="944" spans="1:2" ht="15.75" customHeight="1">
      <c r="A944" s="93">
        <v>45474</v>
      </c>
      <c r="B944" s="94">
        <v>81.8</v>
      </c>
    </row>
    <row r="945" spans="1:2" ht="15.75" customHeight="1">
      <c r="A945" s="93">
        <v>45505</v>
      </c>
      <c r="B945" s="94">
        <v>76.680000000000007</v>
      </c>
    </row>
    <row r="946" spans="1:2" ht="15.75" customHeight="1">
      <c r="A946" s="93">
        <v>45536</v>
      </c>
      <c r="B946" s="94">
        <v>70.239999999999995</v>
      </c>
    </row>
    <row r="947" spans="1:2" ht="15.75" customHeight="1">
      <c r="A947" s="93">
        <v>45566</v>
      </c>
      <c r="B947" s="94">
        <v>71.989999999999995</v>
      </c>
    </row>
    <row r="948" spans="1:2" ht="15.75" customHeight="1">
      <c r="A948" s="93">
        <v>45597</v>
      </c>
      <c r="B948" s="94">
        <v>69.95</v>
      </c>
    </row>
    <row r="949" spans="1:2" ht="15.75" customHeight="1">
      <c r="A949" s="93">
        <v>45627</v>
      </c>
      <c r="B949" s="94">
        <v>70.12</v>
      </c>
    </row>
    <row r="950" spans="1:2" ht="15.75" customHeight="1">
      <c r="A950" s="95">
        <v>45658</v>
      </c>
      <c r="B950" s="96">
        <v>75.739999999999995</v>
      </c>
    </row>
    <row r="951" spans="1:2" ht="15.75" customHeight="1"/>
    <row r="952" spans="1:2" ht="15.75" customHeight="1"/>
    <row r="953" spans="1:2" ht="15.75" customHeight="1"/>
    <row r="954" spans="1:2" ht="15.75" customHeight="1"/>
    <row r="955" spans="1:2" ht="15.75" customHeight="1"/>
    <row r="956" spans="1:2" ht="15.75" customHeight="1"/>
    <row r="957" spans="1:2" ht="15.75" customHeight="1"/>
    <row r="958" spans="1:2" ht="15.75" customHeight="1"/>
    <row r="959" spans="1:2" ht="15.75" customHeight="1"/>
    <row r="960" spans="1:2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581C-1205-4D15-821B-15525FA1D6A4}">
  <sheetPr>
    <outlinePr summaryBelow="0"/>
  </sheetPr>
  <dimension ref="B1:F33"/>
  <sheetViews>
    <sheetView showGridLines="0" tabSelected="1" zoomScale="70" zoomScaleNormal="70" workbookViewId="0"/>
  </sheetViews>
  <sheetFormatPr defaultRowHeight="14.4" outlineLevelRow="1" outlineLevelCol="1"/>
  <cols>
    <col min="3" max="3" width="6.21875" bestFit="1" customWidth="1"/>
    <col min="4" max="6" width="13.109375" bestFit="1" customWidth="1" outlineLevel="1"/>
  </cols>
  <sheetData>
    <row r="1" spans="2:6" ht="15" thickBot="1"/>
    <row r="2" spans="2:6" ht="15.6">
      <c r="B2" s="111" t="s">
        <v>87</v>
      </c>
      <c r="C2" s="111"/>
      <c r="D2" s="116"/>
      <c r="E2" s="116"/>
      <c r="F2" s="116"/>
    </row>
    <row r="3" spans="2:6" ht="15.6" collapsed="1">
      <c r="B3" s="110"/>
      <c r="C3" s="110"/>
      <c r="D3" s="117" t="s">
        <v>89</v>
      </c>
      <c r="E3" s="117" t="s">
        <v>84</v>
      </c>
      <c r="F3" s="117" t="s">
        <v>86</v>
      </c>
    </row>
    <row r="4" spans="2:6" ht="20.399999999999999" hidden="1" outlineLevel="1">
      <c r="B4" s="113"/>
      <c r="C4" s="113"/>
      <c r="D4" s="107"/>
      <c r="E4" s="119" t="s">
        <v>85</v>
      </c>
      <c r="F4" s="119" t="s">
        <v>85</v>
      </c>
    </row>
    <row r="5" spans="2:6">
      <c r="B5" s="114" t="s">
        <v>88</v>
      </c>
      <c r="C5" s="114"/>
      <c r="D5" s="112"/>
      <c r="E5" s="112"/>
      <c r="F5" s="112"/>
    </row>
    <row r="6" spans="2:6" outlineLevel="1">
      <c r="B6" s="113"/>
      <c r="C6" s="113" t="s">
        <v>60</v>
      </c>
      <c r="D6" s="108">
        <v>0</v>
      </c>
      <c r="E6" s="118">
        <v>0</v>
      </c>
      <c r="F6" s="118">
        <v>0</v>
      </c>
    </row>
    <row r="7" spans="2:6" outlineLevel="1">
      <c r="B7" s="113"/>
      <c r="C7" s="113" t="s">
        <v>61</v>
      </c>
      <c r="D7" s="108">
        <v>35007</v>
      </c>
      <c r="E7" s="118">
        <v>35007</v>
      </c>
      <c r="F7" s="118">
        <v>15150.77</v>
      </c>
    </row>
    <row r="8" spans="2:6" outlineLevel="1">
      <c r="B8" s="113"/>
      <c r="C8" s="113" t="s">
        <v>62</v>
      </c>
      <c r="D8" s="108">
        <v>41572.239999999998</v>
      </c>
      <c r="E8" s="118">
        <v>41572.239999999998</v>
      </c>
      <c r="F8" s="118">
        <v>13386.41</v>
      </c>
    </row>
    <row r="9" spans="2:6" outlineLevel="1">
      <c r="B9" s="113"/>
      <c r="C9" s="113" t="s">
        <v>63</v>
      </c>
      <c r="D9" s="108">
        <v>49105.1</v>
      </c>
      <c r="E9" s="118">
        <v>49105.1</v>
      </c>
      <c r="F9" s="118">
        <v>11871.78</v>
      </c>
    </row>
    <row r="10" spans="2:6" outlineLevel="1">
      <c r="B10" s="113"/>
      <c r="C10" s="113" t="s">
        <v>64</v>
      </c>
      <c r="D10" s="108">
        <v>57795.91</v>
      </c>
      <c r="E10" s="118">
        <v>57795.91</v>
      </c>
      <c r="F10" s="118">
        <v>10548.59</v>
      </c>
    </row>
    <row r="11" spans="2:6" outlineLevel="1">
      <c r="B11" s="113"/>
      <c r="C11" s="113" t="s">
        <v>65</v>
      </c>
      <c r="D11" s="108">
        <v>67846.8</v>
      </c>
      <c r="E11" s="118">
        <v>67846.8</v>
      </c>
      <c r="F11" s="118">
        <v>9381.25</v>
      </c>
    </row>
    <row r="12" spans="2:6" outlineLevel="1">
      <c r="B12" s="113"/>
      <c r="C12" s="113" t="s">
        <v>66</v>
      </c>
      <c r="D12" s="108">
        <v>0</v>
      </c>
      <c r="E12" s="118">
        <v>0</v>
      </c>
      <c r="F12" s="118">
        <v>0</v>
      </c>
    </row>
    <row r="13" spans="2:6" outlineLevel="1">
      <c r="B13" s="113"/>
      <c r="C13" s="113" t="s">
        <v>67</v>
      </c>
      <c r="D13" s="108">
        <v>29920.51</v>
      </c>
      <c r="E13" s="118">
        <v>29920.51</v>
      </c>
      <c r="F13" s="118">
        <v>12949.37</v>
      </c>
    </row>
    <row r="14" spans="2:6" outlineLevel="1">
      <c r="B14" s="113"/>
      <c r="C14" s="113" t="s">
        <v>68</v>
      </c>
      <c r="D14" s="108">
        <v>35531.83</v>
      </c>
      <c r="E14" s="118">
        <v>35531.83</v>
      </c>
      <c r="F14" s="118">
        <v>11441.38</v>
      </c>
    </row>
    <row r="15" spans="2:6" outlineLevel="1">
      <c r="B15" s="113"/>
      <c r="C15" s="113" t="s">
        <v>69</v>
      </c>
      <c r="D15" s="108">
        <v>41970.17</v>
      </c>
      <c r="E15" s="118">
        <v>41970.17</v>
      </c>
      <c r="F15" s="118">
        <v>10146.82</v>
      </c>
    </row>
    <row r="16" spans="2:6" outlineLevel="1">
      <c r="B16" s="113"/>
      <c r="C16" s="113" t="s">
        <v>70</v>
      </c>
      <c r="D16" s="108">
        <v>49398.22</v>
      </c>
      <c r="E16" s="118">
        <v>49398.22</v>
      </c>
      <c r="F16" s="118">
        <v>9015.89</v>
      </c>
    </row>
    <row r="17" spans="2:6" outlineLevel="1">
      <c r="B17" s="113"/>
      <c r="C17" s="113" t="s">
        <v>71</v>
      </c>
      <c r="D17" s="108">
        <v>57988.72</v>
      </c>
      <c r="E17" s="118">
        <v>57988.72</v>
      </c>
      <c r="F17" s="118">
        <v>8018.16</v>
      </c>
    </row>
    <row r="18" spans="2:6">
      <c r="B18" s="114" t="s">
        <v>90</v>
      </c>
      <c r="C18" s="114"/>
      <c r="D18" s="112"/>
      <c r="E18" s="112"/>
      <c r="F18" s="112"/>
    </row>
    <row r="19" spans="2:6" outlineLevel="1">
      <c r="B19" s="113"/>
      <c r="C19" s="113" t="s">
        <v>72</v>
      </c>
      <c r="D19" s="108">
        <v>7400</v>
      </c>
      <c r="E19" s="108">
        <v>7400</v>
      </c>
      <c r="F19" s="108">
        <v>7400</v>
      </c>
    </row>
    <row r="20" spans="2:6" outlineLevel="1">
      <c r="B20" s="113"/>
      <c r="C20" s="113" t="s">
        <v>73</v>
      </c>
      <c r="D20" s="108">
        <v>42671</v>
      </c>
      <c r="E20" s="108">
        <v>42671</v>
      </c>
      <c r="F20" s="108">
        <v>22814.77</v>
      </c>
    </row>
    <row r="21" spans="2:6" outlineLevel="1">
      <c r="B21" s="113"/>
      <c r="C21" s="113" t="s">
        <v>74</v>
      </c>
      <c r="D21" s="108">
        <v>49510.26</v>
      </c>
      <c r="E21" s="108">
        <v>49510.26</v>
      </c>
      <c r="F21" s="108">
        <v>21324.43</v>
      </c>
    </row>
    <row r="22" spans="2:6" outlineLevel="1">
      <c r="B22" s="113"/>
      <c r="C22" s="113" t="s">
        <v>75</v>
      </c>
      <c r="D22" s="108">
        <v>57327.565600000002</v>
      </c>
      <c r="E22" s="108">
        <v>57327.565600000002</v>
      </c>
      <c r="F22" s="108">
        <v>20094.245599999998</v>
      </c>
    </row>
    <row r="23" spans="2:6" outlineLevel="1">
      <c r="B23" s="113"/>
      <c r="C23" s="113" t="s">
        <v>76</v>
      </c>
      <c r="D23" s="108">
        <v>66313.669817999995</v>
      </c>
      <c r="E23" s="108">
        <v>66313.669817999995</v>
      </c>
      <c r="F23" s="108">
        <v>19066.349817999999</v>
      </c>
    </row>
    <row r="24" spans="2:6" outlineLevel="1">
      <c r="B24" s="113"/>
      <c r="C24" s="113" t="s">
        <v>77</v>
      </c>
      <c r="D24" s="108">
        <v>76671.143875039998</v>
      </c>
      <c r="E24" s="108">
        <v>76671.143875039998</v>
      </c>
      <c r="F24" s="108">
        <v>18205.593875039998</v>
      </c>
    </row>
    <row r="25" spans="2:6" outlineLevel="1">
      <c r="B25" s="113"/>
      <c r="C25" s="113" t="s">
        <v>78</v>
      </c>
      <c r="D25" s="108">
        <v>6261</v>
      </c>
      <c r="E25" s="108">
        <v>6261</v>
      </c>
      <c r="F25" s="108">
        <v>6261</v>
      </c>
    </row>
    <row r="26" spans="2:6" outlineLevel="1">
      <c r="B26" s="113"/>
      <c r="C26" s="113" t="s">
        <v>79</v>
      </c>
      <c r="D26" s="108">
        <v>11573.54</v>
      </c>
      <c r="E26" s="108">
        <v>11573.54</v>
      </c>
      <c r="F26" s="108">
        <v>8688.4500000000007</v>
      </c>
    </row>
    <row r="27" spans="2:6" outlineLevel="1">
      <c r="B27" s="113"/>
      <c r="C27" s="113" t="s">
        <v>80</v>
      </c>
      <c r="D27" s="108">
        <v>12776.9825</v>
      </c>
      <c r="E27" s="108">
        <v>12776.9825</v>
      </c>
      <c r="F27" s="108">
        <v>8681.6025000000009</v>
      </c>
    </row>
    <row r="28" spans="2:6" outlineLevel="1">
      <c r="B28" s="113"/>
      <c r="C28" s="113" t="s">
        <v>81</v>
      </c>
      <c r="D28" s="108">
        <v>14119.825725000001</v>
      </c>
      <c r="E28" s="108">
        <v>14119.825725000001</v>
      </c>
      <c r="F28" s="108">
        <v>8709.8557249999994</v>
      </c>
    </row>
    <row r="29" spans="2:6" outlineLevel="1">
      <c r="B29" s="113"/>
      <c r="C29" s="113" t="s">
        <v>82</v>
      </c>
      <c r="D29" s="108">
        <v>15641.051449250001</v>
      </c>
      <c r="E29" s="108">
        <v>15641.051449250001</v>
      </c>
      <c r="F29" s="108">
        <v>8776.0614492500008</v>
      </c>
    </row>
    <row r="30" spans="2:6" ht="15" outlineLevel="1" thickBot="1">
      <c r="B30" s="115"/>
      <c r="C30" s="115" t="s">
        <v>83</v>
      </c>
      <c r="D30" s="109">
        <v>17368.4055878525</v>
      </c>
      <c r="E30" s="109">
        <v>17368.4055878525</v>
      </c>
      <c r="F30" s="109">
        <v>8873.4155878524998</v>
      </c>
    </row>
    <row r="31" spans="2:6">
      <c r="B31" t="s">
        <v>91</v>
      </c>
    </row>
    <row r="32" spans="2:6">
      <c r="B32" t="s">
        <v>92</v>
      </c>
    </row>
    <row r="33" spans="2:2">
      <c r="B33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21" sqref="B21"/>
    </sheetView>
  </sheetViews>
  <sheetFormatPr defaultColWidth="14.44140625" defaultRowHeight="15" customHeight="1"/>
  <cols>
    <col min="1" max="1" width="42.5546875" customWidth="1"/>
    <col min="2" max="2" width="10.6640625" customWidth="1"/>
    <col min="3" max="7" width="10.44140625" customWidth="1"/>
    <col min="8" max="9" width="9.109375" customWidth="1"/>
    <col min="10" max="26" width="8.6640625" customWidth="1"/>
  </cols>
  <sheetData>
    <row r="1" spans="1:26" ht="14.4">
      <c r="A1" s="97" t="s">
        <v>2</v>
      </c>
      <c r="B1" s="98"/>
      <c r="C1" s="98"/>
      <c r="D1" s="98"/>
      <c r="E1" s="98"/>
      <c r="F1" s="98"/>
      <c r="G1" s="99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4">
      <c r="A2" s="67" t="s">
        <v>3</v>
      </c>
      <c r="B2" s="68">
        <v>45658</v>
      </c>
      <c r="C2" s="68">
        <v>46023</v>
      </c>
      <c r="D2" s="68">
        <v>46388</v>
      </c>
      <c r="E2" s="68">
        <v>46753</v>
      </c>
      <c r="F2" s="68">
        <v>47119</v>
      </c>
      <c r="G2" s="69">
        <v>47484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70"/>
      <c r="B3" s="71"/>
      <c r="C3" s="71"/>
      <c r="D3" s="71"/>
      <c r="E3" s="71"/>
      <c r="F3" s="71"/>
      <c r="G3" s="72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100" t="s">
        <v>4</v>
      </c>
      <c r="B4" s="98"/>
      <c r="C4" s="98"/>
      <c r="D4" s="98"/>
      <c r="E4" s="98"/>
      <c r="F4" s="98"/>
      <c r="G4" s="9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73"/>
      <c r="B5" s="74"/>
      <c r="C5" s="74"/>
      <c r="D5" s="74"/>
      <c r="E5" s="74"/>
      <c r="F5" s="74"/>
      <c r="G5" s="7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76" t="s">
        <v>5</v>
      </c>
      <c r="B6" s="77">
        <v>0</v>
      </c>
      <c r="C6" s="77">
        <v>35007</v>
      </c>
      <c r="D6" s="77">
        <v>41572.239999999998</v>
      </c>
      <c r="E6" s="77">
        <v>49105.1</v>
      </c>
      <c r="F6" s="77">
        <v>57795.91</v>
      </c>
      <c r="G6" s="78">
        <v>67846.8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76" t="s">
        <v>6</v>
      </c>
      <c r="B7" s="77">
        <v>5300</v>
      </c>
      <c r="C7" s="77">
        <f t="shared" ref="C7:G7" si="0">B7+(B7*3%)</f>
        <v>5459</v>
      </c>
      <c r="D7" s="77">
        <f t="shared" si="0"/>
        <v>5622.77</v>
      </c>
      <c r="E7" s="77">
        <f t="shared" si="0"/>
        <v>5791.4530999999997</v>
      </c>
      <c r="F7" s="77">
        <f t="shared" si="0"/>
        <v>5965.1966929999999</v>
      </c>
      <c r="G7" s="78">
        <f t="shared" si="0"/>
        <v>6144.1525937899996</v>
      </c>
      <c r="H7" s="4"/>
      <c r="I7" s="79" t="s">
        <v>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76" t="s">
        <v>8</v>
      </c>
      <c r="B8" s="77">
        <v>2100</v>
      </c>
      <c r="C8" s="77">
        <f t="shared" ref="C8:G8" si="1">B8+(B8*5%)</f>
        <v>2205</v>
      </c>
      <c r="D8" s="77">
        <f t="shared" si="1"/>
        <v>2315.25</v>
      </c>
      <c r="E8" s="77">
        <f t="shared" si="1"/>
        <v>2431.0124999999998</v>
      </c>
      <c r="F8" s="77">
        <f t="shared" si="1"/>
        <v>2552.5631250000001</v>
      </c>
      <c r="G8" s="78">
        <f t="shared" si="1"/>
        <v>2680.19128125</v>
      </c>
      <c r="H8" s="4"/>
      <c r="I8" s="79" t="s">
        <v>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80"/>
      <c r="B9" s="81"/>
      <c r="C9" s="81"/>
      <c r="D9" s="81"/>
      <c r="E9" s="81"/>
      <c r="F9" s="81"/>
      <c r="G9" s="8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83" t="s">
        <v>10</v>
      </c>
      <c r="B10" s="84">
        <f t="shared" ref="B10:G10" si="2">SUM(B6:B8)</f>
        <v>7400</v>
      </c>
      <c r="C10" s="84">
        <f t="shared" si="2"/>
        <v>42671</v>
      </c>
      <c r="D10" s="84">
        <f t="shared" si="2"/>
        <v>49510.259999999995</v>
      </c>
      <c r="E10" s="84">
        <f t="shared" si="2"/>
        <v>57327.565599999994</v>
      </c>
      <c r="F10" s="84">
        <f t="shared" si="2"/>
        <v>66313.669817999995</v>
      </c>
      <c r="G10" s="85">
        <f t="shared" si="2"/>
        <v>76671.143875039998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86"/>
      <c r="B11" s="74"/>
      <c r="C11" s="74"/>
      <c r="D11" s="74"/>
      <c r="E11" s="74"/>
      <c r="F11" s="74"/>
      <c r="G11" s="7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100" t="s">
        <v>11</v>
      </c>
      <c r="B12" s="98"/>
      <c r="C12" s="98"/>
      <c r="D12" s="98"/>
      <c r="E12" s="98"/>
      <c r="F12" s="98"/>
      <c r="G12" s="9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73"/>
      <c r="B13" s="74"/>
      <c r="C13" s="74"/>
      <c r="D13" s="74"/>
      <c r="E13" s="74"/>
      <c r="F13" s="74"/>
      <c r="G13" s="7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76" t="s">
        <v>12</v>
      </c>
      <c r="B14" s="77">
        <v>0</v>
      </c>
      <c r="C14" s="77">
        <v>29920.51</v>
      </c>
      <c r="D14" s="77">
        <v>35531.83</v>
      </c>
      <c r="E14" s="77">
        <v>41970.17</v>
      </c>
      <c r="F14" s="77">
        <v>49398.22</v>
      </c>
      <c r="G14" s="78">
        <v>57988.72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76" t="s">
        <v>13</v>
      </c>
      <c r="B15" s="77">
        <v>619</v>
      </c>
      <c r="C15" s="77">
        <f t="shared" ref="C15:G15" si="3">B15+(B15*5%)</f>
        <v>649.95000000000005</v>
      </c>
      <c r="D15" s="77">
        <f t="shared" si="3"/>
        <v>682.44749999999999</v>
      </c>
      <c r="E15" s="77">
        <f t="shared" si="3"/>
        <v>716.56987500000002</v>
      </c>
      <c r="F15" s="77">
        <f t="shared" si="3"/>
        <v>752.39836875000003</v>
      </c>
      <c r="G15" s="78">
        <f t="shared" si="3"/>
        <v>790.01828718750005</v>
      </c>
      <c r="H15" s="4"/>
      <c r="I15" s="79" t="s">
        <v>14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76" t="s">
        <v>15</v>
      </c>
      <c r="B16" s="77">
        <v>400</v>
      </c>
      <c r="C16" s="77">
        <v>400</v>
      </c>
      <c r="D16" s="77">
        <v>400</v>
      </c>
      <c r="E16" s="77">
        <v>400</v>
      </c>
      <c r="F16" s="77">
        <v>400</v>
      </c>
      <c r="G16" s="78">
        <v>400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76" t="s">
        <v>16</v>
      </c>
      <c r="B17" s="77">
        <v>120</v>
      </c>
      <c r="C17" s="77">
        <v>127</v>
      </c>
      <c r="D17" s="77">
        <v>119</v>
      </c>
      <c r="E17" s="77">
        <v>121</v>
      </c>
      <c r="F17" s="77">
        <v>122</v>
      </c>
      <c r="G17" s="78">
        <v>124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80"/>
      <c r="B18" s="81"/>
      <c r="C18" s="81"/>
      <c r="D18" s="81"/>
      <c r="E18" s="81"/>
      <c r="F18" s="81"/>
      <c r="G18" s="82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83" t="s">
        <v>17</v>
      </c>
      <c r="B19" s="84">
        <f t="shared" ref="B19:G19" si="4">SUM(B14:B17)</f>
        <v>1139</v>
      </c>
      <c r="C19" s="84">
        <f t="shared" si="4"/>
        <v>31097.46</v>
      </c>
      <c r="D19" s="84">
        <f t="shared" si="4"/>
        <v>36733.277500000004</v>
      </c>
      <c r="E19" s="84">
        <f t="shared" si="4"/>
        <v>43207.739874999999</v>
      </c>
      <c r="F19" s="84">
        <f t="shared" si="4"/>
        <v>50672.618368750002</v>
      </c>
      <c r="G19" s="85">
        <f t="shared" si="4"/>
        <v>59302.738287187502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73"/>
      <c r="B20" s="74"/>
      <c r="C20" s="74"/>
      <c r="D20" s="74"/>
      <c r="E20" s="74"/>
      <c r="F20" s="74"/>
      <c r="G20" s="7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87" t="s">
        <v>18</v>
      </c>
      <c r="B21" s="88">
        <f t="shared" ref="B21:G21" si="5">B10-B19</f>
        <v>6261</v>
      </c>
      <c r="C21" s="88">
        <f t="shared" si="5"/>
        <v>11573.54</v>
      </c>
      <c r="D21" s="88">
        <f t="shared" si="5"/>
        <v>12776.982499999991</v>
      </c>
      <c r="E21" s="88">
        <f t="shared" si="5"/>
        <v>14119.825724999995</v>
      </c>
      <c r="F21" s="88">
        <f t="shared" si="5"/>
        <v>15641.051449249993</v>
      </c>
      <c r="G21" s="89">
        <f t="shared" si="5"/>
        <v>17368.405587852496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97" t="s">
        <v>19</v>
      </c>
      <c r="B23" s="98"/>
      <c r="C23" s="98"/>
      <c r="D23" s="98"/>
      <c r="E23" s="98"/>
      <c r="F23" s="98"/>
      <c r="G23" s="99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0" t="s">
        <v>19</v>
      </c>
      <c r="B24" s="41">
        <v>45658</v>
      </c>
      <c r="C24" s="41">
        <v>46023</v>
      </c>
      <c r="D24" s="41">
        <v>46388</v>
      </c>
      <c r="E24" s="41">
        <v>46753</v>
      </c>
      <c r="F24" s="41">
        <v>47119</v>
      </c>
      <c r="G24" s="42">
        <v>47484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5" t="s">
        <v>20</v>
      </c>
      <c r="B25" s="46">
        <f>Calculations!B18</f>
        <v>0</v>
      </c>
      <c r="C25" s="14">
        <f>Calculations!C18</f>
        <v>90.990826231312582</v>
      </c>
      <c r="D25" s="14">
        <f>Calculations!D18</f>
        <v>95.624182035778389</v>
      </c>
      <c r="E25" s="14">
        <f>Calculations!E18</f>
        <v>99.956814153782986</v>
      </c>
      <c r="F25" s="14">
        <f>Calculations!F18</f>
        <v>104.11288955076401</v>
      </c>
      <c r="G25" s="15">
        <f>Calculations!G18</f>
        <v>108.15791211206513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5" t="s">
        <v>21</v>
      </c>
      <c r="B26" s="47">
        <v>291</v>
      </c>
      <c r="C26" s="14">
        <f>Calculations!C19</f>
        <v>328.83</v>
      </c>
      <c r="D26" s="14">
        <f>Calculations!D19</f>
        <v>371.57789999999994</v>
      </c>
      <c r="E26" s="14">
        <f>Calculations!E19</f>
        <v>419.88302699999991</v>
      </c>
      <c r="F26" s="14">
        <f>Calculations!F19</f>
        <v>474.46782050999985</v>
      </c>
      <c r="G26" s="15">
        <f>Calculations!G19</f>
        <v>536.14863717629976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9"/>
      <c r="B27" s="4"/>
      <c r="C27" s="4"/>
      <c r="D27" s="4"/>
      <c r="E27" s="4"/>
      <c r="F27" s="4"/>
      <c r="G27" s="20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8" t="s">
        <v>22</v>
      </c>
      <c r="B28" s="44">
        <v>45658</v>
      </c>
      <c r="C28" s="44">
        <v>46023</v>
      </c>
      <c r="D28" s="44">
        <v>46388</v>
      </c>
      <c r="E28" s="44">
        <v>46753</v>
      </c>
      <c r="F28" s="44">
        <v>47119</v>
      </c>
      <c r="G28" s="49">
        <v>47484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23" t="s">
        <v>23</v>
      </c>
      <c r="B29" s="50">
        <v>0.17</v>
      </c>
      <c r="C29" s="25">
        <v>0.17</v>
      </c>
      <c r="D29" s="25">
        <v>0.17</v>
      </c>
      <c r="E29" s="25">
        <v>0.17</v>
      </c>
      <c r="F29" s="25">
        <v>0.17</v>
      </c>
      <c r="G29" s="26">
        <v>0.17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23" t="s">
        <v>24</v>
      </c>
      <c r="B30" s="51">
        <f>Calculations!B23</f>
        <v>0</v>
      </c>
      <c r="C30" s="29">
        <f>Calculations!C23</f>
        <v>106.45926669063573</v>
      </c>
      <c r="D30" s="29">
        <f>Calculations!D23</f>
        <v>111.88029298186072</v>
      </c>
      <c r="E30" s="29">
        <f>Calculations!E23</f>
        <v>116.94947255992609</v>
      </c>
      <c r="F30" s="29">
        <f>Calculations!F23</f>
        <v>121.81208077439389</v>
      </c>
      <c r="G30" s="30">
        <f>Calculations!G23</f>
        <v>126.5447571711162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23" t="s">
        <v>25</v>
      </c>
      <c r="B31" s="51">
        <f>Calculations!B24</f>
        <v>0</v>
      </c>
      <c r="C31" s="29">
        <f>Calculations!C24</f>
        <v>35007.000665881744</v>
      </c>
      <c r="D31" s="29">
        <f>Calculations!D24</f>
        <v>41572.24431758454</v>
      </c>
      <c r="E31" s="29">
        <f>Calculations!E24</f>
        <v>49105.098544515196</v>
      </c>
      <c r="F31" s="29">
        <f>Calculations!F24</f>
        <v>57795.912476814723</v>
      </c>
      <c r="G31" s="30">
        <f>Calculations!G24</f>
        <v>67846.799099099735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9"/>
      <c r="B32" s="4"/>
      <c r="C32" s="4"/>
      <c r="D32" s="4"/>
      <c r="E32" s="4"/>
      <c r="F32" s="4"/>
      <c r="G32" s="20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8" t="s">
        <v>26</v>
      </c>
      <c r="B33" s="44">
        <v>45658</v>
      </c>
      <c r="C33" s="44">
        <v>46023</v>
      </c>
      <c r="D33" s="44">
        <v>46388</v>
      </c>
      <c r="E33" s="44">
        <v>46753</v>
      </c>
      <c r="F33" s="44">
        <v>47119</v>
      </c>
      <c r="G33" s="49">
        <v>47484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23" t="s">
        <v>27</v>
      </c>
      <c r="B34" s="52">
        <f t="shared" ref="B34:G34" si="6">B26</f>
        <v>291</v>
      </c>
      <c r="C34" s="33">
        <f t="shared" si="6"/>
        <v>328.83</v>
      </c>
      <c r="D34" s="33">
        <f t="shared" si="6"/>
        <v>371.57789999999994</v>
      </c>
      <c r="E34" s="33">
        <f t="shared" si="6"/>
        <v>419.88302699999991</v>
      </c>
      <c r="F34" s="33">
        <f t="shared" si="6"/>
        <v>474.46782050999985</v>
      </c>
      <c r="G34" s="34">
        <f t="shared" si="6"/>
        <v>536.14863717629976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23" t="s">
        <v>28</v>
      </c>
      <c r="B35" s="51">
        <f>Calculations!B28</f>
        <v>0</v>
      </c>
      <c r="C35" s="29">
        <f>Calculations!C28</f>
        <v>90.990826231312582</v>
      </c>
      <c r="D35" s="29">
        <f>Calculations!D28</f>
        <v>95.624182035778389</v>
      </c>
      <c r="E35" s="29">
        <f>Calculations!E28</f>
        <v>99.956814153782986</v>
      </c>
      <c r="F35" s="29">
        <f>Calculations!F28</f>
        <v>104.11288955076401</v>
      </c>
      <c r="G35" s="30">
        <f>Calculations!G28</f>
        <v>108.15791211206513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36" t="s">
        <v>29</v>
      </c>
      <c r="B36" s="53">
        <f>Calculations!B29</f>
        <v>0</v>
      </c>
      <c r="C36" s="38">
        <f>Calculations!C29</f>
        <v>29920.513389642514</v>
      </c>
      <c r="D36" s="38">
        <f>Calculations!D29</f>
        <v>35531.832750072252</v>
      </c>
      <c r="E36" s="38">
        <f>Calculations!E29</f>
        <v>41970.169696166835</v>
      </c>
      <c r="F36" s="38">
        <f>Calculations!F29</f>
        <v>49398.215792149334</v>
      </c>
      <c r="G36" s="39">
        <f>Calculations!G29</f>
        <v>57988.717178717729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97" t="s">
        <v>30</v>
      </c>
      <c r="B38" s="98"/>
      <c r="C38" s="98"/>
      <c r="D38" s="98"/>
      <c r="E38" s="98"/>
      <c r="F38" s="98"/>
      <c r="G38" s="99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54" t="s">
        <v>30</v>
      </c>
      <c r="B39" s="55">
        <v>45658</v>
      </c>
      <c r="C39" s="55">
        <v>46023</v>
      </c>
      <c r="D39" s="55">
        <v>46388</v>
      </c>
      <c r="E39" s="55">
        <v>46753</v>
      </c>
      <c r="F39" s="55">
        <v>47119</v>
      </c>
      <c r="G39" s="56">
        <v>47484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59" t="s">
        <v>31</v>
      </c>
      <c r="B40" s="60">
        <f>Calculations!B32</f>
        <v>0</v>
      </c>
      <c r="C40" s="14">
        <f>Calculations!C32</f>
        <v>59.89533760304932</v>
      </c>
      <c r="D40" s="14">
        <f>Calculations!D32</f>
        <v>57.522114794883763</v>
      </c>
      <c r="E40" s="14">
        <f>Calculations!E32</f>
        <v>55.449615673179395</v>
      </c>
      <c r="F40" s="14">
        <f>Calculations!F32</f>
        <v>53.5536732724986</v>
      </c>
      <c r="G40" s="15">
        <f>Calculations!G32</f>
        <v>51.768783707497725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59" t="s">
        <v>32</v>
      </c>
      <c r="B41" s="60">
        <f>Calculations!B33</f>
        <v>235</v>
      </c>
      <c r="C41" s="14">
        <f>Calculations!C33</f>
        <v>216.20000000000002</v>
      </c>
      <c r="D41" s="14">
        <f>Calculations!D33</f>
        <v>198.90400000000002</v>
      </c>
      <c r="E41" s="14">
        <f>Calculations!E33</f>
        <v>182.99168000000003</v>
      </c>
      <c r="F41" s="14">
        <f>Calculations!F33</f>
        <v>168.35234560000004</v>
      </c>
      <c r="G41" s="15">
        <f>Calculations!G33</f>
        <v>154.88415795200004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19"/>
      <c r="B42" s="4"/>
      <c r="C42" s="4"/>
      <c r="D42" s="4"/>
      <c r="E42" s="4"/>
      <c r="F42" s="4"/>
      <c r="G42" s="20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90" t="s">
        <v>22</v>
      </c>
      <c r="B43" s="55">
        <v>45658</v>
      </c>
      <c r="C43" s="55">
        <v>46023</v>
      </c>
      <c r="D43" s="55">
        <v>46388</v>
      </c>
      <c r="E43" s="55">
        <v>46753</v>
      </c>
      <c r="F43" s="55">
        <v>47119</v>
      </c>
      <c r="G43" s="56">
        <v>47484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23" t="s">
        <v>23</v>
      </c>
      <c r="B44" s="63">
        <v>0.17</v>
      </c>
      <c r="C44" s="25">
        <v>0.17</v>
      </c>
      <c r="D44" s="25">
        <v>0.17</v>
      </c>
      <c r="E44" s="25">
        <v>0.17</v>
      </c>
      <c r="F44" s="25">
        <v>0.17</v>
      </c>
      <c r="G44" s="26">
        <v>0.17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23" t="s">
        <v>24</v>
      </c>
      <c r="B45" s="64">
        <f>Calculations!B37</f>
        <v>0</v>
      </c>
      <c r="C45" s="29">
        <f>Calculations!C37</f>
        <v>70.077544995567706</v>
      </c>
      <c r="D45" s="29">
        <f>Calculations!D37</f>
        <v>67.300874310013995</v>
      </c>
      <c r="E45" s="29">
        <f>Calculations!E37</f>
        <v>64.876050337619887</v>
      </c>
      <c r="F45" s="29">
        <f>Calculations!F37</f>
        <v>62.657797728823361</v>
      </c>
      <c r="G45" s="30">
        <f>Calculations!G37</f>
        <v>60.569476937772336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36" t="s">
        <v>25</v>
      </c>
      <c r="B46" s="66">
        <f>Calculations!B38</f>
        <v>0</v>
      </c>
      <c r="C46" s="38">
        <f>Calculations!C38</f>
        <v>15150.765228041739</v>
      </c>
      <c r="D46" s="38">
        <f>Calculations!D38</f>
        <v>13386.413103759025</v>
      </c>
      <c r="E46" s="38">
        <f>Calculations!E38</f>
        <v>11871.777443045632</v>
      </c>
      <c r="F46" s="38">
        <f>Calculations!F38</f>
        <v>10548.587217777767</v>
      </c>
      <c r="G46" s="39">
        <f>Calculations!G38</f>
        <v>9381.2524330999549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19"/>
      <c r="B47" s="4"/>
      <c r="C47" s="4"/>
      <c r="D47" s="4"/>
      <c r="E47" s="4"/>
      <c r="F47" s="4"/>
      <c r="G47" s="20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61" t="s">
        <v>26</v>
      </c>
      <c r="B48" s="58">
        <v>45658</v>
      </c>
      <c r="C48" s="58">
        <v>46023</v>
      </c>
      <c r="D48" s="58">
        <v>46388</v>
      </c>
      <c r="E48" s="58">
        <v>46753</v>
      </c>
      <c r="F48" s="58">
        <v>47119</v>
      </c>
      <c r="G48" s="62">
        <v>47484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23" t="s">
        <v>27</v>
      </c>
      <c r="B49" s="65">
        <f t="shared" ref="B49:G49" si="7">B41</f>
        <v>235</v>
      </c>
      <c r="C49" s="33">
        <f t="shared" si="7"/>
        <v>216.20000000000002</v>
      </c>
      <c r="D49" s="33">
        <f t="shared" si="7"/>
        <v>198.90400000000002</v>
      </c>
      <c r="E49" s="33">
        <f t="shared" si="7"/>
        <v>182.99168000000003</v>
      </c>
      <c r="F49" s="33">
        <f t="shared" si="7"/>
        <v>168.35234560000004</v>
      </c>
      <c r="G49" s="34">
        <f t="shared" si="7"/>
        <v>154.88415795200004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23" t="s">
        <v>28</v>
      </c>
      <c r="B50" s="64">
        <f t="shared" ref="B50:G50" si="8">B40</f>
        <v>0</v>
      </c>
      <c r="C50" s="29">
        <f t="shared" si="8"/>
        <v>59.89533760304932</v>
      </c>
      <c r="D50" s="29">
        <f t="shared" si="8"/>
        <v>57.522114794883763</v>
      </c>
      <c r="E50" s="29">
        <f t="shared" si="8"/>
        <v>55.449615673179395</v>
      </c>
      <c r="F50" s="29">
        <f t="shared" si="8"/>
        <v>53.5536732724986</v>
      </c>
      <c r="G50" s="30">
        <f t="shared" si="8"/>
        <v>51.768783707497725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36" t="s">
        <v>29</v>
      </c>
      <c r="B51" s="66">
        <f t="shared" ref="B51:G51" si="9">B49*B50</f>
        <v>0</v>
      </c>
      <c r="C51" s="38">
        <f t="shared" si="9"/>
        <v>12949.371989779263</v>
      </c>
      <c r="D51" s="38">
        <f t="shared" si="9"/>
        <v>11441.378721161562</v>
      </c>
      <c r="E51" s="38">
        <f t="shared" si="9"/>
        <v>10146.81832738943</v>
      </c>
      <c r="F51" s="38">
        <f t="shared" si="9"/>
        <v>9015.8865109211692</v>
      </c>
      <c r="G51" s="39">
        <f t="shared" si="9"/>
        <v>8018.164472735004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scenarios current="0" show="0" sqref="B10:G10 B21:G21">
    <scenario name="optimistic" locked="1" count="12" user="Anvar" comment="Created by Anvar on 20/7/2026">
      <inputCells r="B6" val="0" numFmtId="168"/>
      <inputCells r="C6" val="35007" numFmtId="168"/>
      <inputCells r="D6" val="41572.24" numFmtId="168"/>
      <inputCells r="E6" val="49105.1" numFmtId="168"/>
      <inputCells r="F6" val="57795.91" numFmtId="168"/>
      <inputCells r="G6" val="67846.8" numFmtId="168"/>
      <inputCells r="B14" val="0" numFmtId="168"/>
      <inputCells r="C14" val="29920.51" numFmtId="168"/>
      <inputCells r="D14" val="35531.83" numFmtId="168"/>
      <inputCells r="E14" val="41970.17" numFmtId="168"/>
      <inputCells r="F14" val="49398.22" numFmtId="168"/>
      <inputCells r="G14" val="57988.72" numFmtId="168"/>
    </scenario>
    <scenario name="pessimistic" locked="1" count="12" user="Anvar" comment="Created by Anvar on 20/7/2026">
      <inputCells r="B6" val="0" numFmtId="168"/>
      <inputCells r="C6" val="15150.77" numFmtId="168"/>
      <inputCells r="D6" val="13386.41" numFmtId="168"/>
      <inputCells r="E6" val="11871.78" numFmtId="168"/>
      <inputCells r="F6" val="10548.59" numFmtId="168"/>
      <inputCells r="G6" val="9381.25" numFmtId="168"/>
      <inputCells r="B14" val="0" numFmtId="168"/>
      <inputCells r="C14" val="12949.37" numFmtId="168"/>
      <inputCells r="D14" val="11441.38" numFmtId="168"/>
      <inputCells r="E14" val="10146.82" numFmtId="168"/>
      <inputCells r="F14" val="9015.89" numFmtId="168"/>
      <inputCells r="G14" val="8018.16" numFmtId="168"/>
    </scenario>
  </scenarios>
  <mergeCells count="5">
    <mergeCell ref="A1:G1"/>
    <mergeCell ref="A4:G4"/>
    <mergeCell ref="A12:G12"/>
    <mergeCell ref="A23:G23"/>
    <mergeCell ref="A38:G38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28" sqref="B28"/>
    </sheetView>
  </sheetViews>
  <sheetFormatPr defaultColWidth="14.44140625" defaultRowHeight="15" customHeight="1"/>
  <cols>
    <col min="1" max="1" width="42.5546875" customWidth="1"/>
    <col min="2" max="2" width="11.5546875" customWidth="1"/>
    <col min="3" max="7" width="12.109375" customWidth="1"/>
    <col min="8" max="12" width="12.109375" hidden="1" customWidth="1"/>
    <col min="13" max="14" width="9.109375" customWidth="1"/>
    <col min="15" max="26" width="8.6640625" customWidth="1"/>
  </cols>
  <sheetData>
    <row r="1" spans="1:26" ht="14.4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>
      <c r="A2" s="106">
        <v>46023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4">
      <c r="A3" s="6" t="s">
        <v>34</v>
      </c>
      <c r="B3" s="7">
        <v>45658</v>
      </c>
      <c r="C3" s="7">
        <v>46023</v>
      </c>
      <c r="D3" s="7">
        <v>46388</v>
      </c>
      <c r="E3" s="7">
        <v>46753</v>
      </c>
      <c r="F3" s="7">
        <v>47119</v>
      </c>
      <c r="G3" s="8">
        <v>47484</v>
      </c>
      <c r="H3" s="9">
        <v>47849</v>
      </c>
      <c r="I3" s="10">
        <v>48214</v>
      </c>
      <c r="J3" s="10">
        <v>48580</v>
      </c>
      <c r="K3" s="10">
        <v>48945</v>
      </c>
      <c r="L3" s="10">
        <v>49310</v>
      </c>
      <c r="M3" s="4"/>
      <c r="N3" s="11" t="s">
        <v>35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4">
      <c r="A4" s="12" t="s">
        <v>36</v>
      </c>
      <c r="B4" s="13">
        <v>75.739999999999995</v>
      </c>
      <c r="C4" s="14">
        <f>VLOOKUP(A2,Forecast!A1:E975,3,FALSE)</f>
        <v>75.443081917180947</v>
      </c>
      <c r="D4" s="14">
        <f>VLOOKUP(D3,Forecast!A1:E1014,3,FALSE)</f>
        <v>76.573148415331076</v>
      </c>
      <c r="E4" s="14">
        <f>VLOOKUP(E3,Forecast!A1:E1090,3,FALSE)</f>
        <v>77.70321491348119</v>
      </c>
      <c r="F4" s="14">
        <f>VLOOKUP(F3,Forecast!A1:E1245,3,FALSE)</f>
        <v>78.833281411631305</v>
      </c>
      <c r="G4" s="15">
        <f>VLOOKUP(G3,Forecast!A1:E1039,3,FALSE)</f>
        <v>79.963347909781433</v>
      </c>
      <c r="H4" s="16" t="e">
        <f>VLOOKUP(H3,#REF!,3,FALSE)</f>
        <v>#REF!</v>
      </c>
      <c r="I4" s="14" t="e">
        <f>VLOOKUP(I3,#REF!,3,FALSE)</f>
        <v>#REF!</v>
      </c>
      <c r="J4" s="14" t="e">
        <f>VLOOKUP(J3,#REF!,3,FALSE)</f>
        <v>#REF!</v>
      </c>
      <c r="K4" s="14" t="e">
        <f>VLOOKUP(K3,#REF!,3,FALSE)</f>
        <v>#REF!</v>
      </c>
      <c r="L4" s="14" t="e">
        <f>VLOOKUP(L3,#REF!,3,FALSE)</f>
        <v>#REF!</v>
      </c>
      <c r="M4" s="4"/>
      <c r="N4" s="11" t="s">
        <v>37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4">
      <c r="A5" s="17" t="s">
        <v>38</v>
      </c>
      <c r="B5" s="18">
        <v>267</v>
      </c>
      <c r="C5" s="14">
        <f>B5*1.1</f>
        <v>293.70000000000005</v>
      </c>
      <c r="D5" s="14">
        <f t="shared" ref="D5:G5" si="0">C5*1.1</f>
        <v>323.07000000000005</v>
      </c>
      <c r="E5" s="14">
        <f t="shared" si="0"/>
        <v>355.37700000000007</v>
      </c>
      <c r="F5" s="14">
        <f t="shared" si="0"/>
        <v>390.9147000000001</v>
      </c>
      <c r="G5" s="14">
        <f t="shared" si="0"/>
        <v>430.00617000000017</v>
      </c>
      <c r="H5" s="16">
        <f>$B$5+(1.1)^6</f>
        <v>268.77156100000002</v>
      </c>
      <c r="I5" s="14">
        <f>$B$5+(1.1)^7</f>
        <v>268.94871710000001</v>
      </c>
      <c r="J5" s="14">
        <f>$B$5+(1.1)^8</f>
        <v>269.14358880999998</v>
      </c>
      <c r="K5" s="14">
        <f>$B$5+(1.1)^9</f>
        <v>269.35794769099999</v>
      </c>
      <c r="L5" s="14">
        <f>$B$5+(1.1)^10</f>
        <v>269.59374246009997</v>
      </c>
      <c r="M5" s="4"/>
      <c r="N5" s="11" t="s">
        <v>39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4">
      <c r="A6" s="19"/>
      <c r="B6" s="4"/>
      <c r="C6" s="4"/>
      <c r="D6" s="4"/>
      <c r="E6" s="4"/>
      <c r="F6" s="4"/>
      <c r="G6" s="20"/>
      <c r="H6" s="4"/>
      <c r="I6" s="4"/>
      <c r="J6" s="4"/>
      <c r="K6" s="4"/>
      <c r="L6" s="4"/>
      <c r="M6" s="4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4">
      <c r="A7" s="21" t="s">
        <v>22</v>
      </c>
      <c r="B7" s="10">
        <v>45658</v>
      </c>
      <c r="C7" s="10">
        <v>46023</v>
      </c>
      <c r="D7" s="10">
        <v>46388</v>
      </c>
      <c r="E7" s="10">
        <v>46753</v>
      </c>
      <c r="F7" s="10">
        <v>47119</v>
      </c>
      <c r="G7" s="22">
        <v>47484</v>
      </c>
      <c r="H7" s="9">
        <v>47849</v>
      </c>
      <c r="I7" s="10">
        <v>48214</v>
      </c>
      <c r="J7" s="10">
        <v>48580</v>
      </c>
      <c r="K7" s="10">
        <v>48945</v>
      </c>
      <c r="L7" s="10">
        <v>49310</v>
      </c>
      <c r="M7" s="4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4">
      <c r="A8" s="23" t="s">
        <v>23</v>
      </c>
      <c r="B8" s="24">
        <v>0.17</v>
      </c>
      <c r="C8" s="25">
        <v>0.17</v>
      </c>
      <c r="D8" s="25">
        <v>0.17</v>
      </c>
      <c r="E8" s="25">
        <v>0.17</v>
      </c>
      <c r="F8" s="25">
        <v>0.17</v>
      </c>
      <c r="G8" s="26">
        <v>0.17</v>
      </c>
      <c r="H8" s="27">
        <v>0.17</v>
      </c>
      <c r="I8" s="25">
        <v>0.17</v>
      </c>
      <c r="J8" s="25">
        <v>0.17</v>
      </c>
      <c r="K8" s="25">
        <v>0.17</v>
      </c>
      <c r="L8" s="25">
        <v>0.17</v>
      </c>
      <c r="M8" s="4"/>
      <c r="N8" s="11" t="s">
        <v>40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4">
      <c r="A9" s="23" t="s">
        <v>24</v>
      </c>
      <c r="B9" s="28">
        <f t="shared" ref="B9:G9" si="1">B4+(B4*B8)</f>
        <v>88.615799999999993</v>
      </c>
      <c r="C9" s="29">
        <f t="shared" si="1"/>
        <v>88.268405843101704</v>
      </c>
      <c r="D9" s="29">
        <f t="shared" si="1"/>
        <v>89.590583645937357</v>
      </c>
      <c r="E9" s="29">
        <f t="shared" si="1"/>
        <v>90.912761448772997</v>
      </c>
      <c r="F9" s="29">
        <f t="shared" si="1"/>
        <v>92.234939251608623</v>
      </c>
      <c r="G9" s="30">
        <f t="shared" si="1"/>
        <v>93.557117054444277</v>
      </c>
      <c r="H9" s="31" t="e">
        <f t="shared" ref="H9:L9" si="2">H4+(H4*17%)</f>
        <v>#REF!</v>
      </c>
      <c r="I9" s="29" t="e">
        <f t="shared" si="2"/>
        <v>#REF!</v>
      </c>
      <c r="J9" s="29" t="e">
        <f t="shared" si="2"/>
        <v>#REF!</v>
      </c>
      <c r="K9" s="29" t="e">
        <f t="shared" si="2"/>
        <v>#REF!</v>
      </c>
      <c r="L9" s="29" t="e">
        <f t="shared" si="2"/>
        <v>#REF!</v>
      </c>
      <c r="M9" s="4"/>
      <c r="N9" s="11" t="s">
        <v>41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4">
      <c r="A10" s="23" t="s">
        <v>25</v>
      </c>
      <c r="B10" s="28">
        <f t="shared" ref="B10:L10" si="3">B9*B5</f>
        <v>23660.418600000001</v>
      </c>
      <c r="C10" s="29">
        <f t="shared" si="3"/>
        <v>25924.430796118973</v>
      </c>
      <c r="D10" s="29">
        <f t="shared" si="3"/>
        <v>28944.029858492988</v>
      </c>
      <c r="E10" s="29">
        <f t="shared" si="3"/>
        <v>32308.304425380607</v>
      </c>
      <c r="F10" s="29">
        <f t="shared" si="3"/>
        <v>36055.993607060816</v>
      </c>
      <c r="G10" s="30">
        <f t="shared" si="3"/>
        <v>40230.137580823277</v>
      </c>
      <c r="H10" s="31" t="e">
        <f t="shared" si="3"/>
        <v>#REF!</v>
      </c>
      <c r="I10" s="29" t="e">
        <f t="shared" si="3"/>
        <v>#REF!</v>
      </c>
      <c r="J10" s="29" t="e">
        <f t="shared" si="3"/>
        <v>#REF!</v>
      </c>
      <c r="K10" s="29" t="e">
        <f t="shared" si="3"/>
        <v>#REF!</v>
      </c>
      <c r="L10" s="29" t="e">
        <f t="shared" si="3"/>
        <v>#REF!</v>
      </c>
      <c r="M10" s="4"/>
      <c r="N10" s="11" t="s">
        <v>42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4">
      <c r="A11" s="19"/>
      <c r="B11" s="4"/>
      <c r="C11" s="4"/>
      <c r="D11" s="4"/>
      <c r="E11" s="4"/>
      <c r="F11" s="4"/>
      <c r="G11" s="20"/>
      <c r="H11" s="4"/>
      <c r="I11" s="4"/>
      <c r="J11" s="4"/>
      <c r="K11" s="4"/>
      <c r="L11" s="4"/>
      <c r="M11" s="4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4">
      <c r="A12" s="21" t="s">
        <v>26</v>
      </c>
      <c r="B12" s="10">
        <v>45658</v>
      </c>
      <c r="C12" s="10">
        <v>46023</v>
      </c>
      <c r="D12" s="10">
        <v>46388</v>
      </c>
      <c r="E12" s="10">
        <v>46753</v>
      </c>
      <c r="F12" s="10">
        <v>47119</v>
      </c>
      <c r="G12" s="22">
        <v>47484</v>
      </c>
      <c r="H12" s="9">
        <v>47849</v>
      </c>
      <c r="I12" s="10">
        <v>48214</v>
      </c>
      <c r="J12" s="10">
        <v>48580</v>
      </c>
      <c r="K12" s="10">
        <v>48945</v>
      </c>
      <c r="L12" s="10">
        <v>49310</v>
      </c>
      <c r="M12" s="4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4">
      <c r="A13" s="23" t="s">
        <v>27</v>
      </c>
      <c r="B13" s="32">
        <f t="shared" ref="B13:L13" si="4">B5</f>
        <v>267</v>
      </c>
      <c r="C13" s="33">
        <f t="shared" si="4"/>
        <v>293.70000000000005</v>
      </c>
      <c r="D13" s="33">
        <f t="shared" si="4"/>
        <v>323.07000000000005</v>
      </c>
      <c r="E13" s="33">
        <f t="shared" si="4"/>
        <v>355.37700000000007</v>
      </c>
      <c r="F13" s="33">
        <f t="shared" si="4"/>
        <v>390.9147000000001</v>
      </c>
      <c r="G13" s="34">
        <f t="shared" si="4"/>
        <v>430.00617000000017</v>
      </c>
      <c r="H13" s="35">
        <f t="shared" si="4"/>
        <v>268.77156100000002</v>
      </c>
      <c r="I13" s="33">
        <f t="shared" si="4"/>
        <v>268.94871710000001</v>
      </c>
      <c r="J13" s="33">
        <f t="shared" si="4"/>
        <v>269.14358880999998</v>
      </c>
      <c r="K13" s="33">
        <f t="shared" si="4"/>
        <v>269.35794769099999</v>
      </c>
      <c r="L13" s="33">
        <f t="shared" si="4"/>
        <v>269.59374246009997</v>
      </c>
      <c r="M13" s="4"/>
      <c r="N13" s="11" t="s">
        <v>43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4">
      <c r="A14" s="23" t="s">
        <v>28</v>
      </c>
      <c r="B14" s="28">
        <f t="shared" ref="B14:L14" si="5">B4</f>
        <v>75.739999999999995</v>
      </c>
      <c r="C14" s="29">
        <f t="shared" si="5"/>
        <v>75.443081917180947</v>
      </c>
      <c r="D14" s="29">
        <f t="shared" si="5"/>
        <v>76.573148415331076</v>
      </c>
      <c r="E14" s="29">
        <f t="shared" si="5"/>
        <v>77.70321491348119</v>
      </c>
      <c r="F14" s="29">
        <f t="shared" si="5"/>
        <v>78.833281411631305</v>
      </c>
      <c r="G14" s="30">
        <f t="shared" si="5"/>
        <v>79.963347909781433</v>
      </c>
      <c r="H14" s="31" t="e">
        <f t="shared" si="5"/>
        <v>#REF!</v>
      </c>
      <c r="I14" s="29" t="e">
        <f t="shared" si="5"/>
        <v>#REF!</v>
      </c>
      <c r="J14" s="29" t="e">
        <f t="shared" si="5"/>
        <v>#REF!</v>
      </c>
      <c r="K14" s="29" t="e">
        <f t="shared" si="5"/>
        <v>#REF!</v>
      </c>
      <c r="L14" s="29" t="e">
        <f t="shared" si="5"/>
        <v>#REF!</v>
      </c>
      <c r="M14" s="4"/>
      <c r="N14" s="11" t="s">
        <v>44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4">
      <c r="A15" s="36" t="s">
        <v>29</v>
      </c>
      <c r="B15" s="37">
        <f t="shared" ref="B15:L15" si="6">B13*B14</f>
        <v>20222.580000000002</v>
      </c>
      <c r="C15" s="38">
        <f t="shared" si="6"/>
        <v>22157.633159076049</v>
      </c>
      <c r="D15" s="38">
        <f t="shared" si="6"/>
        <v>24738.487058541014</v>
      </c>
      <c r="E15" s="38">
        <f t="shared" si="6"/>
        <v>27613.93540630821</v>
      </c>
      <c r="F15" s="38">
        <f t="shared" si="6"/>
        <v>30817.088553043435</v>
      </c>
      <c r="G15" s="39">
        <f t="shared" si="6"/>
        <v>34384.73297506263</v>
      </c>
      <c r="H15" s="31" t="e">
        <f t="shared" si="6"/>
        <v>#REF!</v>
      </c>
      <c r="I15" s="29" t="e">
        <f t="shared" si="6"/>
        <v>#REF!</v>
      </c>
      <c r="J15" s="29" t="e">
        <f t="shared" si="6"/>
        <v>#REF!</v>
      </c>
      <c r="K15" s="29" t="e">
        <f t="shared" si="6"/>
        <v>#REF!</v>
      </c>
      <c r="L15" s="29" t="e">
        <f t="shared" si="6"/>
        <v>#REF!</v>
      </c>
      <c r="M15" s="4"/>
      <c r="N15" s="11" t="s">
        <v>45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4">
      <c r="A17" s="40" t="s">
        <v>19</v>
      </c>
      <c r="B17" s="41">
        <v>45658</v>
      </c>
      <c r="C17" s="41">
        <v>46023</v>
      </c>
      <c r="D17" s="41">
        <v>46388</v>
      </c>
      <c r="E17" s="41">
        <v>46753</v>
      </c>
      <c r="F17" s="41">
        <v>47119</v>
      </c>
      <c r="G17" s="42">
        <v>47484</v>
      </c>
      <c r="H17" s="43">
        <v>47849</v>
      </c>
      <c r="I17" s="44">
        <v>48214</v>
      </c>
      <c r="J17" s="44">
        <v>48580</v>
      </c>
      <c r="K17" s="44">
        <v>48945</v>
      </c>
      <c r="L17" s="44">
        <v>49310</v>
      </c>
      <c r="M17" s="4"/>
      <c r="N17" s="5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4">
      <c r="A18" s="45" t="s">
        <v>20</v>
      </c>
      <c r="B18" s="46"/>
      <c r="C18" s="14">
        <f>VLOOKUP(C17,Forecast!A1:E1135,5,FALSE)</f>
        <v>90.990826231312582</v>
      </c>
      <c r="D18" s="14">
        <f>VLOOKUP(D17,Forecast!A1:E1182,5,FALSE)</f>
        <v>95.624182035778389</v>
      </c>
      <c r="E18" s="14">
        <f>VLOOKUP(E17,Forecast!A1:E1126,5,FALSE)</f>
        <v>99.956814153782986</v>
      </c>
      <c r="F18" s="14">
        <f>VLOOKUP(F17,Forecast!A1:E1237,5,FALSE)</f>
        <v>104.11288955076401</v>
      </c>
      <c r="G18" s="15">
        <f>VLOOKUP(G17,Forecast!A1:E1061,5,FALSE)</f>
        <v>108.15791211206513</v>
      </c>
      <c r="H18" s="16" t="e">
        <f>VLOOKUP(H3,#REF!,5,0)</f>
        <v>#REF!</v>
      </c>
      <c r="I18" s="14" t="e">
        <f>VLOOKUP(I3,#REF!,5,0)</f>
        <v>#REF!</v>
      </c>
      <c r="J18" s="14" t="e">
        <f>VLOOKUP(J3,#REF!,5,0)</f>
        <v>#REF!</v>
      </c>
      <c r="K18" s="14" t="e">
        <f>VLOOKUP(K3,#REF!,5,0)</f>
        <v>#REF!</v>
      </c>
      <c r="L18" s="14" t="e">
        <f>VLOOKUP(L3,#REF!,5,0)</f>
        <v>#REF!</v>
      </c>
      <c r="M18" s="4"/>
      <c r="N18" s="11" t="s">
        <v>37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4">
      <c r="A19" s="45" t="s">
        <v>21</v>
      </c>
      <c r="B19" s="47">
        <v>291</v>
      </c>
      <c r="C19" s="14">
        <f>B19*1.13</f>
        <v>328.83</v>
      </c>
      <c r="D19" s="14">
        <f t="shared" ref="D19:G19" si="7">C19*1.13</f>
        <v>371.57789999999994</v>
      </c>
      <c r="E19" s="14">
        <f t="shared" si="7"/>
        <v>419.88302699999991</v>
      </c>
      <c r="F19" s="14">
        <f t="shared" si="7"/>
        <v>474.46782050999985</v>
      </c>
      <c r="G19" s="14">
        <f t="shared" si="7"/>
        <v>536.14863717629976</v>
      </c>
      <c r="H19" s="16">
        <f>$B$19+(1.13)^6</f>
        <v>293.08195175260897</v>
      </c>
      <c r="I19" s="14">
        <f>$B$19+(1.13)^7</f>
        <v>293.35260548044801</v>
      </c>
      <c r="J19" s="14">
        <f>$B$19+(1.13)^8</f>
        <v>293.65844419290602</v>
      </c>
      <c r="K19" s="14">
        <f>$B$19+(1.13)^9</f>
        <v>294.00404193798403</v>
      </c>
      <c r="L19" s="14">
        <f>$B$19+(1.13)^10</f>
        <v>294.39456738992197</v>
      </c>
      <c r="M19" s="4"/>
      <c r="N19" s="11" t="s">
        <v>46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4">
      <c r="A20" s="19"/>
      <c r="B20" s="4"/>
      <c r="C20" s="4"/>
      <c r="D20" s="4"/>
      <c r="E20" s="4"/>
      <c r="F20" s="4"/>
      <c r="G20" s="20"/>
      <c r="H20" s="4"/>
      <c r="I20" s="4"/>
      <c r="J20" s="4"/>
      <c r="K20" s="4"/>
      <c r="L20" s="4"/>
      <c r="M20" s="4"/>
      <c r="N20" s="5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8" t="s">
        <v>22</v>
      </c>
      <c r="B21" s="44">
        <v>45658</v>
      </c>
      <c r="C21" s="44">
        <v>46023</v>
      </c>
      <c r="D21" s="44">
        <v>46388</v>
      </c>
      <c r="E21" s="44">
        <v>46753</v>
      </c>
      <c r="F21" s="44">
        <v>47119</v>
      </c>
      <c r="G21" s="49">
        <v>47484</v>
      </c>
      <c r="H21" s="43">
        <v>47849</v>
      </c>
      <c r="I21" s="44">
        <v>48214</v>
      </c>
      <c r="J21" s="44">
        <v>48580</v>
      </c>
      <c r="K21" s="44">
        <v>48945</v>
      </c>
      <c r="L21" s="44">
        <v>49310</v>
      </c>
      <c r="M21" s="4"/>
      <c r="N21" s="5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23" t="s">
        <v>23</v>
      </c>
      <c r="B22" s="50">
        <v>0.17</v>
      </c>
      <c r="C22" s="25">
        <v>0.17</v>
      </c>
      <c r="D22" s="25">
        <v>0.17</v>
      </c>
      <c r="E22" s="25">
        <v>0.17</v>
      </c>
      <c r="F22" s="25">
        <v>0.17</v>
      </c>
      <c r="G22" s="26">
        <v>0.17</v>
      </c>
      <c r="H22" s="27">
        <v>0.17</v>
      </c>
      <c r="I22" s="25">
        <v>0.17</v>
      </c>
      <c r="J22" s="25">
        <v>0.17</v>
      </c>
      <c r="K22" s="25">
        <v>0.17</v>
      </c>
      <c r="L22" s="25">
        <v>0.17</v>
      </c>
      <c r="M22" s="4"/>
      <c r="N22" s="11" t="s">
        <v>40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23" t="s">
        <v>24</v>
      </c>
      <c r="B23" s="51">
        <f t="shared" ref="B23:L23" si="8">B18+(B18*17%)</f>
        <v>0</v>
      </c>
      <c r="C23" s="29">
        <f t="shared" si="8"/>
        <v>106.45926669063573</v>
      </c>
      <c r="D23" s="29">
        <f t="shared" si="8"/>
        <v>111.88029298186072</v>
      </c>
      <c r="E23" s="29">
        <f t="shared" si="8"/>
        <v>116.94947255992609</v>
      </c>
      <c r="F23" s="29">
        <f t="shared" si="8"/>
        <v>121.81208077439389</v>
      </c>
      <c r="G23" s="30">
        <f t="shared" si="8"/>
        <v>126.5447571711162</v>
      </c>
      <c r="H23" s="31" t="e">
        <f t="shared" si="8"/>
        <v>#REF!</v>
      </c>
      <c r="I23" s="29" t="e">
        <f t="shared" si="8"/>
        <v>#REF!</v>
      </c>
      <c r="J23" s="29" t="e">
        <f t="shared" si="8"/>
        <v>#REF!</v>
      </c>
      <c r="K23" s="29" t="e">
        <f t="shared" si="8"/>
        <v>#REF!</v>
      </c>
      <c r="L23" s="29" t="e">
        <f t="shared" si="8"/>
        <v>#REF!</v>
      </c>
      <c r="M23" s="4"/>
      <c r="N23" s="11" t="s">
        <v>41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3" t="s">
        <v>25</v>
      </c>
      <c r="B24" s="51">
        <f t="shared" ref="B24:L24" si="9">B23*B19</f>
        <v>0</v>
      </c>
      <c r="C24" s="29">
        <f t="shared" si="9"/>
        <v>35007.000665881744</v>
      </c>
      <c r="D24" s="29">
        <f t="shared" si="9"/>
        <v>41572.24431758454</v>
      </c>
      <c r="E24" s="29">
        <f t="shared" si="9"/>
        <v>49105.098544515196</v>
      </c>
      <c r="F24" s="29">
        <f t="shared" si="9"/>
        <v>57795.912476814723</v>
      </c>
      <c r="G24" s="30">
        <f t="shared" si="9"/>
        <v>67846.799099099735</v>
      </c>
      <c r="H24" s="31" t="e">
        <f t="shared" si="9"/>
        <v>#REF!</v>
      </c>
      <c r="I24" s="29" t="e">
        <f t="shared" si="9"/>
        <v>#REF!</v>
      </c>
      <c r="J24" s="29" t="e">
        <f t="shared" si="9"/>
        <v>#REF!</v>
      </c>
      <c r="K24" s="29" t="e">
        <f t="shared" si="9"/>
        <v>#REF!</v>
      </c>
      <c r="L24" s="29" t="e">
        <f t="shared" si="9"/>
        <v>#REF!</v>
      </c>
      <c r="M24" s="4"/>
      <c r="N24" s="11" t="s">
        <v>42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9"/>
      <c r="B25" s="4"/>
      <c r="C25" s="4"/>
      <c r="D25" s="4"/>
      <c r="E25" s="4"/>
      <c r="F25" s="4"/>
      <c r="G25" s="20"/>
      <c r="H25" s="4"/>
      <c r="I25" s="4"/>
      <c r="J25" s="4"/>
      <c r="K25" s="4"/>
      <c r="L25" s="4"/>
      <c r="M25" s="4"/>
      <c r="N25" s="5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8" t="s">
        <v>26</v>
      </c>
      <c r="B26" s="44">
        <v>45658</v>
      </c>
      <c r="C26" s="44">
        <v>46023</v>
      </c>
      <c r="D26" s="44">
        <v>46388</v>
      </c>
      <c r="E26" s="44">
        <v>46753</v>
      </c>
      <c r="F26" s="44">
        <v>47119</v>
      </c>
      <c r="G26" s="49">
        <v>47484</v>
      </c>
      <c r="H26" s="43">
        <v>47849</v>
      </c>
      <c r="I26" s="44">
        <v>48214</v>
      </c>
      <c r="J26" s="44">
        <v>48580</v>
      </c>
      <c r="K26" s="44">
        <v>48945</v>
      </c>
      <c r="L26" s="44">
        <v>49310</v>
      </c>
      <c r="M26" s="4"/>
      <c r="N26" s="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23" t="s">
        <v>27</v>
      </c>
      <c r="B27" s="52">
        <f t="shared" ref="B27:L27" si="10">B19</f>
        <v>291</v>
      </c>
      <c r="C27" s="33">
        <f t="shared" si="10"/>
        <v>328.83</v>
      </c>
      <c r="D27" s="33">
        <f t="shared" si="10"/>
        <v>371.57789999999994</v>
      </c>
      <c r="E27" s="33">
        <f t="shared" si="10"/>
        <v>419.88302699999991</v>
      </c>
      <c r="F27" s="33">
        <f t="shared" si="10"/>
        <v>474.46782050999985</v>
      </c>
      <c r="G27" s="34">
        <f t="shared" si="10"/>
        <v>536.14863717629976</v>
      </c>
      <c r="H27" s="35">
        <f t="shared" si="10"/>
        <v>293.08195175260897</v>
      </c>
      <c r="I27" s="33">
        <f t="shared" si="10"/>
        <v>293.35260548044801</v>
      </c>
      <c r="J27" s="33">
        <f t="shared" si="10"/>
        <v>293.65844419290602</v>
      </c>
      <c r="K27" s="33">
        <f t="shared" si="10"/>
        <v>294.00404193798403</v>
      </c>
      <c r="L27" s="33">
        <f t="shared" si="10"/>
        <v>294.39456738992197</v>
      </c>
      <c r="M27" s="4"/>
      <c r="N27" s="11" t="s">
        <v>43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23" t="s">
        <v>28</v>
      </c>
      <c r="B28" s="51">
        <f t="shared" ref="B28:L28" si="11">B18</f>
        <v>0</v>
      </c>
      <c r="C28" s="29">
        <f t="shared" si="11"/>
        <v>90.990826231312582</v>
      </c>
      <c r="D28" s="29">
        <f t="shared" si="11"/>
        <v>95.624182035778389</v>
      </c>
      <c r="E28" s="29">
        <f t="shared" si="11"/>
        <v>99.956814153782986</v>
      </c>
      <c r="F28" s="29">
        <f t="shared" si="11"/>
        <v>104.11288955076401</v>
      </c>
      <c r="G28" s="30">
        <f t="shared" si="11"/>
        <v>108.15791211206513</v>
      </c>
      <c r="H28" s="31" t="e">
        <f t="shared" si="11"/>
        <v>#REF!</v>
      </c>
      <c r="I28" s="29" t="e">
        <f t="shared" si="11"/>
        <v>#REF!</v>
      </c>
      <c r="J28" s="29" t="e">
        <f t="shared" si="11"/>
        <v>#REF!</v>
      </c>
      <c r="K28" s="29" t="e">
        <f t="shared" si="11"/>
        <v>#REF!</v>
      </c>
      <c r="L28" s="29" t="e">
        <f t="shared" si="11"/>
        <v>#REF!</v>
      </c>
      <c r="M28" s="4"/>
      <c r="N28" s="11" t="s">
        <v>44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36" t="s">
        <v>29</v>
      </c>
      <c r="B29" s="53">
        <f t="shared" ref="B29:L29" si="12">B27*B28</f>
        <v>0</v>
      </c>
      <c r="C29" s="38">
        <f t="shared" si="12"/>
        <v>29920.513389642514</v>
      </c>
      <c r="D29" s="38">
        <f t="shared" si="12"/>
        <v>35531.832750072252</v>
      </c>
      <c r="E29" s="38">
        <f t="shared" si="12"/>
        <v>41970.169696166835</v>
      </c>
      <c r="F29" s="38">
        <f t="shared" si="12"/>
        <v>49398.215792149334</v>
      </c>
      <c r="G29" s="39">
        <f t="shared" si="12"/>
        <v>57988.717178717729</v>
      </c>
      <c r="H29" s="31" t="e">
        <f t="shared" si="12"/>
        <v>#REF!</v>
      </c>
      <c r="I29" s="29" t="e">
        <f t="shared" si="12"/>
        <v>#REF!</v>
      </c>
      <c r="J29" s="29" t="e">
        <f t="shared" si="12"/>
        <v>#REF!</v>
      </c>
      <c r="K29" s="29" t="e">
        <f t="shared" si="12"/>
        <v>#REF!</v>
      </c>
      <c r="L29" s="29" t="e">
        <f t="shared" si="12"/>
        <v>#REF!</v>
      </c>
      <c r="M29" s="4"/>
      <c r="N29" s="11" t="s">
        <v>45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54" t="s">
        <v>30</v>
      </c>
      <c r="B31" s="55">
        <v>45658</v>
      </c>
      <c r="C31" s="55">
        <v>46023</v>
      </c>
      <c r="D31" s="55">
        <v>46388</v>
      </c>
      <c r="E31" s="55">
        <v>46753</v>
      </c>
      <c r="F31" s="55">
        <v>47119</v>
      </c>
      <c r="G31" s="56">
        <v>47484</v>
      </c>
      <c r="H31" s="57">
        <v>47849</v>
      </c>
      <c r="I31" s="58">
        <v>48214</v>
      </c>
      <c r="J31" s="58">
        <v>48580</v>
      </c>
      <c r="K31" s="58">
        <v>48945</v>
      </c>
      <c r="L31" s="58">
        <v>49310</v>
      </c>
      <c r="M31" s="4"/>
      <c r="N31" s="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59" t="s">
        <v>31</v>
      </c>
      <c r="B32" s="60"/>
      <c r="C32" s="14">
        <f>VLOOKUP(C31,Forecast!A1:E1072,4,FALSE)</f>
        <v>59.89533760304932</v>
      </c>
      <c r="D32" s="14">
        <f>VLOOKUP(D31,Forecast!A1:E1096,4,FALSE)</f>
        <v>57.522114794883763</v>
      </c>
      <c r="E32" s="14">
        <f>VLOOKUP(E31,Forecast!A1:E1091,4,FALSE)</f>
        <v>55.449615673179395</v>
      </c>
      <c r="F32" s="14">
        <f>VLOOKUP(F31,Forecast!A1:E1051,4,FALSE)</f>
        <v>53.5536732724986</v>
      </c>
      <c r="G32" s="15">
        <f>VLOOKUP(G31,Forecast!A1:E1230,4,FALSE)</f>
        <v>51.768783707497725</v>
      </c>
      <c r="H32" s="16" t="e">
        <f>VLOOKUP(H3,#REF!,4,0)</f>
        <v>#REF!</v>
      </c>
      <c r="I32" s="14" t="e">
        <f>VLOOKUP(I3,#REF!,4,0)</f>
        <v>#REF!</v>
      </c>
      <c r="J32" s="14" t="e">
        <f>VLOOKUP(J3,#REF!,4,0)</f>
        <v>#REF!</v>
      </c>
      <c r="K32" s="14" t="e">
        <f>VLOOKUP(K3,#REF!,4,0)</f>
        <v>#REF!</v>
      </c>
      <c r="L32" s="14" t="e">
        <f>VLOOKUP(L3,#REF!,4,0)</f>
        <v>#REF!</v>
      </c>
      <c r="M32" s="4"/>
      <c r="N32" s="11" t="s">
        <v>37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59" t="s">
        <v>32</v>
      </c>
      <c r="B33" s="60">
        <v>235</v>
      </c>
      <c r="C33" s="14">
        <f>B33*(1-8%)</f>
        <v>216.20000000000002</v>
      </c>
      <c r="D33" s="14">
        <f t="shared" ref="D33:G33" si="13">C33*(1-8%)</f>
        <v>198.90400000000002</v>
      </c>
      <c r="E33" s="14">
        <f t="shared" si="13"/>
        <v>182.99168000000003</v>
      </c>
      <c r="F33" s="14">
        <f t="shared" si="13"/>
        <v>168.35234560000004</v>
      </c>
      <c r="G33" s="14">
        <f t="shared" si="13"/>
        <v>154.88415795200004</v>
      </c>
      <c r="H33" s="16">
        <f>$B$33+(1.13)^-6</f>
        <v>235.48031852743301</v>
      </c>
      <c r="I33" s="14">
        <f>$B$33+(1.13)^-7</f>
        <v>235.42506064374601</v>
      </c>
      <c r="J33" s="14">
        <f>$B$33+(1.13)^-8</f>
        <v>235.37615986172199</v>
      </c>
      <c r="K33" s="14">
        <f>$B$33+(1.13)^-9</f>
        <v>235.33288483338299</v>
      </c>
      <c r="L33" s="14">
        <f>$B$33+(1.13)^-10</f>
        <v>235.29458834812601</v>
      </c>
      <c r="M33" s="4"/>
      <c r="N33" s="11" t="s">
        <v>47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9"/>
      <c r="B34" s="4"/>
      <c r="C34" s="4"/>
      <c r="D34" s="4"/>
      <c r="E34" s="4"/>
      <c r="F34" s="4"/>
      <c r="G34" s="20"/>
      <c r="H34" s="4"/>
      <c r="I34" s="4"/>
      <c r="J34" s="4"/>
      <c r="K34" s="4"/>
      <c r="L34" s="4"/>
      <c r="M34" s="4"/>
      <c r="N34" s="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61" t="s">
        <v>22</v>
      </c>
      <c r="B35" s="58">
        <v>45658</v>
      </c>
      <c r="C35" s="58">
        <v>46023</v>
      </c>
      <c r="D35" s="58">
        <v>46388</v>
      </c>
      <c r="E35" s="58">
        <v>46753</v>
      </c>
      <c r="F35" s="58">
        <v>47119</v>
      </c>
      <c r="G35" s="62">
        <v>47484</v>
      </c>
      <c r="H35" s="57">
        <v>47849</v>
      </c>
      <c r="I35" s="58">
        <v>48214</v>
      </c>
      <c r="J35" s="58">
        <v>48580</v>
      </c>
      <c r="K35" s="58">
        <v>48945</v>
      </c>
      <c r="L35" s="58">
        <v>49310</v>
      </c>
      <c r="M35" s="4"/>
      <c r="N35" s="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23" t="s">
        <v>23</v>
      </c>
      <c r="B36" s="63">
        <v>0.17</v>
      </c>
      <c r="C36" s="25">
        <v>0.17</v>
      </c>
      <c r="D36" s="25">
        <v>0.17</v>
      </c>
      <c r="E36" s="25">
        <v>0.17</v>
      </c>
      <c r="F36" s="25">
        <v>0.17</v>
      </c>
      <c r="G36" s="26">
        <v>0.17</v>
      </c>
      <c r="H36" s="27">
        <v>0.17</v>
      </c>
      <c r="I36" s="25">
        <v>0.17</v>
      </c>
      <c r="J36" s="25">
        <v>0.17</v>
      </c>
      <c r="K36" s="25">
        <v>0.17</v>
      </c>
      <c r="L36" s="25">
        <v>0.17</v>
      </c>
      <c r="M36" s="4"/>
      <c r="N36" s="11" t="s">
        <v>40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23" t="s">
        <v>24</v>
      </c>
      <c r="B37" s="64">
        <f t="shared" ref="B37:L37" si="14">B32+(B32*17%)</f>
        <v>0</v>
      </c>
      <c r="C37" s="29">
        <f t="shared" si="14"/>
        <v>70.077544995567706</v>
      </c>
      <c r="D37" s="29">
        <f t="shared" si="14"/>
        <v>67.300874310013995</v>
      </c>
      <c r="E37" s="29">
        <f t="shared" si="14"/>
        <v>64.876050337619887</v>
      </c>
      <c r="F37" s="29">
        <f t="shared" si="14"/>
        <v>62.657797728823361</v>
      </c>
      <c r="G37" s="30">
        <f t="shared" si="14"/>
        <v>60.569476937772336</v>
      </c>
      <c r="H37" s="31" t="e">
        <f t="shared" si="14"/>
        <v>#REF!</v>
      </c>
      <c r="I37" s="29" t="e">
        <f t="shared" si="14"/>
        <v>#REF!</v>
      </c>
      <c r="J37" s="29" t="e">
        <f t="shared" si="14"/>
        <v>#REF!</v>
      </c>
      <c r="K37" s="29" t="e">
        <f t="shared" si="14"/>
        <v>#REF!</v>
      </c>
      <c r="L37" s="29" t="e">
        <f t="shared" si="14"/>
        <v>#REF!</v>
      </c>
      <c r="M37" s="4"/>
      <c r="N37" s="11" t="s">
        <v>41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23" t="s">
        <v>25</v>
      </c>
      <c r="B38" s="64">
        <f t="shared" ref="B38:L38" si="15">B37*B33</f>
        <v>0</v>
      </c>
      <c r="C38" s="29">
        <f t="shared" si="15"/>
        <v>15150.765228041739</v>
      </c>
      <c r="D38" s="29">
        <f t="shared" si="15"/>
        <v>13386.413103759025</v>
      </c>
      <c r="E38" s="29">
        <f t="shared" si="15"/>
        <v>11871.777443045632</v>
      </c>
      <c r="F38" s="29">
        <f t="shared" si="15"/>
        <v>10548.587217777767</v>
      </c>
      <c r="G38" s="30">
        <f t="shared" si="15"/>
        <v>9381.2524330999549</v>
      </c>
      <c r="H38" s="31" t="e">
        <f t="shared" si="15"/>
        <v>#REF!</v>
      </c>
      <c r="I38" s="29" t="e">
        <f t="shared" si="15"/>
        <v>#REF!</v>
      </c>
      <c r="J38" s="29" t="e">
        <f t="shared" si="15"/>
        <v>#REF!</v>
      </c>
      <c r="K38" s="29" t="e">
        <f t="shared" si="15"/>
        <v>#REF!</v>
      </c>
      <c r="L38" s="29" t="e">
        <f t="shared" si="15"/>
        <v>#REF!</v>
      </c>
      <c r="M38" s="4"/>
      <c r="N38" s="11" t="s">
        <v>42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9"/>
      <c r="B39" s="4"/>
      <c r="C39" s="4"/>
      <c r="D39" s="4"/>
      <c r="E39" s="4"/>
      <c r="F39" s="4"/>
      <c r="G39" s="20"/>
      <c r="H39" s="4"/>
      <c r="I39" s="4"/>
      <c r="J39" s="4"/>
      <c r="K39" s="4"/>
      <c r="L39" s="4"/>
      <c r="M39" s="4"/>
      <c r="N39" s="5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61" t="s">
        <v>26</v>
      </c>
      <c r="B40" s="58">
        <v>45658</v>
      </c>
      <c r="C40" s="58">
        <v>46023</v>
      </c>
      <c r="D40" s="58">
        <v>46388</v>
      </c>
      <c r="E40" s="58">
        <v>46753</v>
      </c>
      <c r="F40" s="58">
        <v>47119</v>
      </c>
      <c r="G40" s="62">
        <v>47484</v>
      </c>
      <c r="H40" s="57">
        <v>47849</v>
      </c>
      <c r="I40" s="58">
        <v>48214</v>
      </c>
      <c r="J40" s="58">
        <v>48580</v>
      </c>
      <c r="K40" s="58">
        <v>48945</v>
      </c>
      <c r="L40" s="58">
        <v>49310</v>
      </c>
      <c r="M40" s="4"/>
      <c r="N40" s="5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23" t="s">
        <v>27</v>
      </c>
      <c r="B41" s="65">
        <f t="shared" ref="B41:L41" si="16">B33</f>
        <v>235</v>
      </c>
      <c r="C41" s="33">
        <f t="shared" si="16"/>
        <v>216.20000000000002</v>
      </c>
      <c r="D41" s="33">
        <f t="shared" si="16"/>
        <v>198.90400000000002</v>
      </c>
      <c r="E41" s="33">
        <f t="shared" si="16"/>
        <v>182.99168000000003</v>
      </c>
      <c r="F41" s="33">
        <f t="shared" si="16"/>
        <v>168.35234560000004</v>
      </c>
      <c r="G41" s="34">
        <f t="shared" si="16"/>
        <v>154.88415795200004</v>
      </c>
      <c r="H41" s="35">
        <f t="shared" si="16"/>
        <v>235.48031852743301</v>
      </c>
      <c r="I41" s="33">
        <f t="shared" si="16"/>
        <v>235.42506064374601</v>
      </c>
      <c r="J41" s="33">
        <f t="shared" si="16"/>
        <v>235.37615986172199</v>
      </c>
      <c r="K41" s="33">
        <f t="shared" si="16"/>
        <v>235.33288483338299</v>
      </c>
      <c r="L41" s="33">
        <f t="shared" si="16"/>
        <v>235.29458834812601</v>
      </c>
      <c r="M41" s="4"/>
      <c r="N41" s="11" t="s">
        <v>43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23" t="s">
        <v>28</v>
      </c>
      <c r="B42" s="64">
        <f t="shared" ref="B42:L42" si="17">B32</f>
        <v>0</v>
      </c>
      <c r="C42" s="29">
        <f t="shared" si="17"/>
        <v>59.89533760304932</v>
      </c>
      <c r="D42" s="29">
        <f t="shared" si="17"/>
        <v>57.522114794883763</v>
      </c>
      <c r="E42" s="29">
        <f t="shared" si="17"/>
        <v>55.449615673179395</v>
      </c>
      <c r="F42" s="29">
        <f t="shared" si="17"/>
        <v>53.5536732724986</v>
      </c>
      <c r="G42" s="30">
        <f t="shared" si="17"/>
        <v>51.768783707497725</v>
      </c>
      <c r="H42" s="31" t="e">
        <f t="shared" si="17"/>
        <v>#REF!</v>
      </c>
      <c r="I42" s="29" t="e">
        <f t="shared" si="17"/>
        <v>#REF!</v>
      </c>
      <c r="J42" s="29" t="e">
        <f t="shared" si="17"/>
        <v>#REF!</v>
      </c>
      <c r="K42" s="29" t="e">
        <f t="shared" si="17"/>
        <v>#REF!</v>
      </c>
      <c r="L42" s="29" t="e">
        <f t="shared" si="17"/>
        <v>#REF!</v>
      </c>
      <c r="M42" s="4"/>
      <c r="N42" s="11" t="s">
        <v>44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36" t="s">
        <v>29</v>
      </c>
      <c r="B43" s="66">
        <f t="shared" ref="B43:L43" si="18">B41*B42</f>
        <v>0</v>
      </c>
      <c r="C43" s="38">
        <f t="shared" si="18"/>
        <v>12949.371989779263</v>
      </c>
      <c r="D43" s="38">
        <f t="shared" si="18"/>
        <v>11441.378721161562</v>
      </c>
      <c r="E43" s="38">
        <f t="shared" si="18"/>
        <v>10146.81832738943</v>
      </c>
      <c r="F43" s="38">
        <f t="shared" si="18"/>
        <v>9015.8865109211692</v>
      </c>
      <c r="G43" s="39">
        <f t="shared" si="18"/>
        <v>8018.164472735004</v>
      </c>
      <c r="H43" s="31" t="e">
        <f t="shared" si="18"/>
        <v>#REF!</v>
      </c>
      <c r="I43" s="29" t="e">
        <f t="shared" si="18"/>
        <v>#REF!</v>
      </c>
      <c r="J43" s="29" t="e">
        <f t="shared" si="18"/>
        <v>#REF!</v>
      </c>
      <c r="K43" s="29" t="e">
        <f t="shared" si="18"/>
        <v>#REF!</v>
      </c>
      <c r="L43" s="29" t="e">
        <f t="shared" si="18"/>
        <v>#REF!</v>
      </c>
      <c r="M43" s="4"/>
      <c r="N43" s="11" t="s">
        <v>45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5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5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5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5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5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5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5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5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5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5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5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5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5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5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5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5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5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5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5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5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5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5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5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5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5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5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5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5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5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5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5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5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5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5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5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5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5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5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5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5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5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5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5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5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5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5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5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5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5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5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5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5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5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5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5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5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5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5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5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5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5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5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5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5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5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5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5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5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5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5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5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5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5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5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5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5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5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5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5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5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5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5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5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5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5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5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5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5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5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5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5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5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5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5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5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5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5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5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5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5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5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5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5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5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5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5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5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5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5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5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5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5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5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5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5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5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5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5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5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5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5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5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5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5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5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5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5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5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5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5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5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5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5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5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5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5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5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5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5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5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5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5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5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5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5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5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5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5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5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5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5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5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5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5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5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5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5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5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5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5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5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5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5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5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5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5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5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5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5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5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5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5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5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5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5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5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5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5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5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5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5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5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5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5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5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5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5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5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5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5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5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5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5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5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5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5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5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5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5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5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5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5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5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5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5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5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5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5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5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5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5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5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5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5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5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5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5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5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5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5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5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5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5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5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5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5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5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5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5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5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5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5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5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5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5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5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5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5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5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5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5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5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5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5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5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5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5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5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5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5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5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5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5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5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5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5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5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5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5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5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5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5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5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5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5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5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5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5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5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5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5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5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5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5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5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5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5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5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5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5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5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5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5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5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5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5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5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5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5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5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5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5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5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5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5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5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5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5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5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5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5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5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5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5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5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5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5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5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5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5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5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5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5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5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5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5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5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5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5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5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5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5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5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5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5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5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5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5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5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5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5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5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5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5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5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5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5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5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5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5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5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5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5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5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5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5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5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5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5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5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5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5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5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5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5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5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5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5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5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5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5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5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5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5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5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5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5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5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5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5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5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5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5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5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5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5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5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5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5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5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5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5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5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5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5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5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5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5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5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5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5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5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5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5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5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5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5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5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5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5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5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5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5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5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5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5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5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5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5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5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5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5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5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5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5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5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5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5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5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5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5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5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5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5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5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5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5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5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5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5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5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5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5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5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5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5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5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5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5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5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5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5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5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5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5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5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5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5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5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5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5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5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5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5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5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5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5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5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5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5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5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5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5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5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5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5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5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5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5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5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5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5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5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5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5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5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5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5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5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5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5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5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5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5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5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5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5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5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5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5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5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5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5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5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5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5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5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5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5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5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5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5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5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5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5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5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5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5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5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5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5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5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5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5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5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5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5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5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5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5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5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5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5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5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5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5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5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5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5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5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5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5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5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5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5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5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5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5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5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5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5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5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5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5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5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5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5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5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5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5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5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5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5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5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5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5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5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5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5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5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5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5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5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5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5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5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5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5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5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5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5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5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5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5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5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5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5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5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5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5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5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5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5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5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5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5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5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5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5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5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5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5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5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5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5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5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5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5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5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5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5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5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5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5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5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5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5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5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5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5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5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5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5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5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5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5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5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5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5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5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5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5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5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5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5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5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5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5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5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5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5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5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5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5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5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5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5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5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5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5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5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5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5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5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5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5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5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5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5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5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5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5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5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5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5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5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5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5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5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5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5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5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5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5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5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5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5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5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5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5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5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5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5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5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5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5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5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5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5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5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5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5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5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5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5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5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5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5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5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5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5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5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5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5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5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5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5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5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5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5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5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5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5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5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5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5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5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5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5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5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5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5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5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5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5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5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5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5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5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5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5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5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5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5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5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5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5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5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5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5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5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5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5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5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5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5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5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5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5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5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5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5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5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5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5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5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5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5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5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5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5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5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5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5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5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5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5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5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5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5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5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5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5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5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5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5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5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5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5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5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5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5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5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5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5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5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5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5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5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5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5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5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5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5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5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5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5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5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5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5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5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5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5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5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5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5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5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5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5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5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5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5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5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5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5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5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5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5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5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5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5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5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5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5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5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5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5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5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5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5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5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5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5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5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5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5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5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5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5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5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5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5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5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5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5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5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5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5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5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5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5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5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5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5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5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5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5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5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5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5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5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5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5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5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5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5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5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5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5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5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5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5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5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5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5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5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5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5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5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5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5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5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5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5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5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5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5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5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5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5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5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5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5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5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5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5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5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5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5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5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5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5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5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5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5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5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5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5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5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5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5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5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5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5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5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5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5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5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5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5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5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5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5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5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5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5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5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5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5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5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5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5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5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5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5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5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5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Forecast</vt:lpstr>
      <vt:lpstr>Data_Crude_Oil_For_Forecasting</vt:lpstr>
      <vt:lpstr>Scenario Summary</vt:lpstr>
      <vt:lpstr>Net_Receivable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saramadav@gmail.com</dc:creator>
  <cp:lastModifiedBy>Anvar Sayfullayev</cp:lastModifiedBy>
  <dcterms:created xsi:type="dcterms:W3CDTF">2025-02-11T09:53:00Z</dcterms:created>
  <dcterms:modified xsi:type="dcterms:W3CDTF">2026-07-20T14:59:01Z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DC25B466F40A4B88AD943C00ED46DF89_12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